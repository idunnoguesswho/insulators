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F:\Insulator Book\"/>
    </mc:Choice>
  </mc:AlternateContent>
  <xr:revisionPtr revIDLastSave="0" documentId="13_ncr:1_{FC805A3A-8789-4B4E-BD25-8ADE3FF1F19D}" xr6:coauthVersionLast="47" xr6:coauthVersionMax="47" xr10:uidLastSave="{00000000-0000-0000-0000-000000000000}"/>
  <bookViews>
    <workbookView xWindow="-108" yWindow="-108" windowWidth="20376" windowHeight="12096" tabRatio="940" firstSheet="2" activeTab="11" xr2:uid="{00000000-000D-0000-FFFF-FFFF00000000}"/>
  </bookViews>
  <sheets>
    <sheet name="Frac Decmial" sheetId="1" r:id="rId1"/>
    <sheet name="End Caps" sheetId="2" r:id="rId2"/>
    <sheet name="Flanges" sheetId="3" r:id="rId3"/>
    <sheet name="Sheet2" sheetId="4" r:id="rId4"/>
    <sheet name="Circle Weights" sheetId="13" r:id="rId5"/>
    <sheet name="Metal Bands" sheetId="5" r:id="rId6"/>
    <sheet name="Elbow" sheetId="6" r:id="rId7"/>
    <sheet name="Flange Size" sheetId="7" r:id="rId8"/>
    <sheet name="Copper Tubing" sheetId="8" r:id="rId9"/>
    <sheet name="Iron Pipe Size" sheetId="9" r:id="rId10"/>
    <sheet name="Sheet1" sheetId="17" r:id="rId11"/>
    <sheet name="Electrical Metalic Tubing" sheetId="18" r:id="rId12"/>
    <sheet name="Copper Tube" sheetId="10" r:id="rId13"/>
    <sheet name="ELL-JACS" sheetId="11" r:id="rId14"/>
    <sheet name="Abbreviations" sheetId="12" r:id="rId15"/>
    <sheet name="Jacketing" sheetId="14" r:id="rId16"/>
    <sheet name="Short Radius Mitered Elbow" sheetId="15" r:id="rId17"/>
    <sheet name="Long Radius Mitered Elbow" sheetId="16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2" l="1"/>
  <c r="E4" i="2"/>
  <c r="C5" i="2"/>
  <c r="E5" i="2"/>
  <c r="B6" i="2"/>
  <c r="C6" i="2"/>
  <c r="E6" i="2"/>
  <c r="B7" i="2"/>
  <c r="C7" i="2"/>
  <c r="E7" i="2"/>
  <c r="B8" i="2"/>
  <c r="C8" i="2"/>
  <c r="E8" i="2"/>
  <c r="B9" i="2"/>
  <c r="C9" i="2"/>
  <c r="E9" i="2"/>
  <c r="C10" i="2"/>
  <c r="E10" i="2"/>
  <c r="C11" i="2"/>
  <c r="E11" i="2"/>
  <c r="C12" i="2"/>
  <c r="E12" i="2"/>
  <c r="C13" i="2"/>
  <c r="E13" i="2"/>
  <c r="C14" i="2"/>
  <c r="E14" i="2"/>
  <c r="C15" i="2"/>
  <c r="E15" i="2"/>
  <c r="C16" i="2"/>
  <c r="E16" i="2"/>
  <c r="C17" i="2"/>
  <c r="E17" i="2"/>
  <c r="C18" i="2"/>
  <c r="E18" i="2"/>
  <c r="C19" i="2"/>
  <c r="E19" i="2"/>
  <c r="C20" i="2"/>
  <c r="E20" i="2"/>
  <c r="C21" i="2"/>
  <c r="E21" i="2"/>
  <c r="C22" i="2"/>
  <c r="E22" i="2"/>
  <c r="C23" i="2"/>
  <c r="E23" i="2"/>
  <c r="D4" i="2"/>
  <c r="D7" i="2"/>
  <c r="D10" i="2"/>
  <c r="D11" i="2"/>
  <c r="D13" i="2"/>
  <c r="D14" i="2"/>
  <c r="D16" i="2"/>
  <c r="D17" i="2"/>
  <c r="D19" i="2"/>
  <c r="D20" i="2"/>
  <c r="D22" i="2"/>
  <c r="D23" i="2"/>
  <c r="D9" i="16"/>
  <c r="D7" i="16"/>
  <c r="D3" i="16"/>
  <c r="B7" i="16"/>
  <c r="B6" i="16"/>
  <c r="B5" i="16"/>
  <c r="B4" i="16"/>
  <c r="B3" i="16"/>
  <c r="M31" i="15"/>
  <c r="M30" i="15"/>
  <c r="M29" i="15"/>
  <c r="M28" i="15"/>
  <c r="M27" i="15"/>
  <c r="M26" i="15"/>
  <c r="M8" i="15"/>
  <c r="K31" i="15"/>
  <c r="K29" i="15"/>
  <c r="K28" i="15"/>
  <c r="K27" i="15"/>
  <c r="K26" i="15"/>
  <c r="K25" i="15"/>
  <c r="K24" i="15"/>
  <c r="K22" i="15"/>
  <c r="K21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J31" i="15"/>
  <c r="J30" i="15"/>
  <c r="J29" i="15"/>
  <c r="J28" i="15"/>
  <c r="J27" i="15"/>
  <c r="J26" i="15"/>
  <c r="J7" i="15"/>
  <c r="J6" i="15"/>
  <c r="H31" i="15"/>
  <c r="H30" i="15"/>
  <c r="H29" i="15"/>
  <c r="H28" i="15"/>
  <c r="H26" i="15"/>
  <c r="H25" i="15"/>
  <c r="H24" i="15"/>
  <c r="H23" i="15"/>
  <c r="H22" i="15"/>
  <c r="H21" i="15"/>
  <c r="H19" i="15"/>
  <c r="H18" i="15"/>
  <c r="H17" i="15"/>
  <c r="H16" i="15"/>
  <c r="H15" i="15"/>
  <c r="H13" i="15"/>
  <c r="H12" i="15"/>
  <c r="H11" i="15"/>
  <c r="H10" i="15"/>
  <c r="H9" i="15"/>
  <c r="H8" i="15"/>
  <c r="H7" i="15"/>
  <c r="H6" i="15"/>
  <c r="G27" i="15"/>
  <c r="G26" i="15"/>
  <c r="G25" i="15"/>
  <c r="G23" i="15"/>
  <c r="G22" i="15"/>
  <c r="G21" i="15"/>
  <c r="G20" i="15"/>
  <c r="G19" i="15"/>
  <c r="G18" i="15"/>
  <c r="G17" i="15"/>
  <c r="G16" i="15"/>
  <c r="G15" i="15"/>
  <c r="G14" i="15"/>
  <c r="G12" i="15"/>
  <c r="G11" i="15"/>
  <c r="G10" i="15"/>
  <c r="G9" i="15"/>
  <c r="G8" i="15"/>
  <c r="G7" i="15"/>
  <c r="G6" i="15"/>
  <c r="G5" i="15"/>
  <c r="G4" i="15"/>
  <c r="E27" i="15"/>
  <c r="E26" i="15"/>
  <c r="E25" i="15"/>
  <c r="E23" i="15"/>
  <c r="E22" i="15"/>
  <c r="E21" i="15"/>
  <c r="E20" i="15"/>
  <c r="E19" i="15"/>
  <c r="E18" i="15"/>
  <c r="E16" i="15"/>
  <c r="E15" i="15"/>
  <c r="E14" i="15"/>
  <c r="E13" i="15"/>
  <c r="E12" i="15"/>
  <c r="E10" i="15"/>
  <c r="E9" i="15"/>
  <c r="E8" i="15"/>
  <c r="E7" i="15"/>
  <c r="E6" i="15"/>
  <c r="E5" i="15"/>
  <c r="E4" i="15"/>
  <c r="B8" i="15"/>
  <c r="B3" i="1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67" i="5"/>
  <c r="D66" i="5"/>
  <c r="D65" i="5"/>
  <c r="D64" i="5"/>
  <c r="D63" i="5"/>
  <c r="D62" i="5"/>
  <c r="D61" i="5"/>
  <c r="D60" i="5"/>
  <c r="D59" i="5"/>
  <c r="D58" i="5"/>
  <c r="C99" i="5"/>
  <c r="C98" i="5"/>
  <c r="C97" i="5"/>
  <c r="C96" i="5"/>
  <c r="C95" i="5"/>
  <c r="C94" i="5"/>
  <c r="C93" i="5"/>
  <c r="C92" i="5"/>
  <c r="E8" i="14"/>
  <c r="E6" i="14"/>
  <c r="E5" i="14"/>
  <c r="D9" i="14"/>
  <c r="D8" i="14"/>
  <c r="D7" i="14"/>
  <c r="D6" i="14"/>
  <c r="D5" i="14"/>
  <c r="D4" i="14"/>
  <c r="D3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A10" i="14"/>
  <c r="A8" i="14"/>
  <c r="A7" i="14"/>
  <c r="A5" i="14"/>
  <c r="A4" i="14"/>
  <c r="B3" i="14"/>
  <c r="A3" i="14"/>
  <c r="D2" i="5"/>
  <c r="D3" i="5"/>
  <c r="D4" i="5"/>
  <c r="D5" i="5"/>
  <c r="D12" i="5"/>
  <c r="D13" i="5"/>
  <c r="D14" i="5"/>
  <c r="D15" i="5"/>
  <c r="D16" i="5"/>
  <c r="D17" i="5"/>
  <c r="D18" i="5"/>
  <c r="D19" i="5"/>
  <c r="C20" i="5"/>
  <c r="C21" i="5"/>
  <c r="C22" i="5"/>
  <c r="C23" i="5"/>
  <c r="C24" i="5"/>
  <c r="C25" i="5"/>
  <c r="C26" i="5"/>
  <c r="C27" i="5"/>
  <c r="C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D40" i="5"/>
  <c r="D41" i="5"/>
  <c r="D42" i="5"/>
  <c r="D43" i="5"/>
  <c r="D44" i="5"/>
  <c r="D45" i="5"/>
  <c r="D46" i="5"/>
  <c r="D47" i="5"/>
  <c r="D48" i="5"/>
  <c r="B3" i="4"/>
  <c r="B4" i="4"/>
  <c r="B5" i="4"/>
  <c r="B6" i="4"/>
  <c r="F5" i="2"/>
  <c r="F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C2" i="1"/>
  <c r="B2" i="1"/>
  <c r="D21" i="2"/>
  <c r="D18" i="2"/>
  <c r="D15" i="2"/>
  <c r="D12" i="2"/>
  <c r="D9" i="2"/>
  <c r="D6" i="2"/>
  <c r="D8" i="2"/>
  <c r="D5" i="2"/>
</calcChain>
</file>

<file path=xl/sharedStrings.xml><?xml version="1.0" encoding="utf-8"?>
<sst xmlns="http://schemas.openxmlformats.org/spreadsheetml/2006/main" count="573" uniqueCount="214">
  <si>
    <t>Fraction</t>
  </si>
  <si>
    <t>Decimal</t>
  </si>
  <si>
    <t>Fraction2</t>
  </si>
  <si>
    <t>Decimal3</t>
  </si>
  <si>
    <t>Fraction4</t>
  </si>
  <si>
    <t>Decimal5</t>
  </si>
  <si>
    <t>Fraction6</t>
  </si>
  <si>
    <t>Decimal7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</si>
  <si>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</si>
  <si>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</si>
  <si>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</si>
  <si>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</si>
  <si>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</si>
  <si>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</si>
  <si>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</si>
  <si>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</si>
  <si>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</si>
  <si>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</si>
  <si>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</si>
  <si>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</si>
  <si>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</si>
  <si>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</si>
  <si>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</si>
  <si>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</si>
  <si>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</si>
  <si>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</si>
  <si>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</si>
  <si>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</si>
  <si>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3/16" Easy Edge</t>
  </si>
  <si>
    <t>1500 #</t>
  </si>
  <si>
    <t>900 #</t>
  </si>
  <si>
    <t>600 #</t>
  </si>
  <si>
    <t>400 #</t>
  </si>
  <si>
    <t>300 #</t>
  </si>
  <si>
    <t>150 #</t>
  </si>
  <si>
    <t>Pipe Size</t>
  </si>
  <si>
    <t>Y</t>
  </si>
  <si>
    <t>N</t>
  </si>
  <si>
    <t>X</t>
  </si>
  <si>
    <t>5"</t>
  </si>
  <si>
    <t>4 1/2"</t>
  </si>
  <si>
    <t>4"</t>
  </si>
  <si>
    <t>3 1/2"</t>
  </si>
  <si>
    <t>3"</t>
  </si>
  <si>
    <t>2 1/2"</t>
  </si>
  <si>
    <t>2"</t>
  </si>
  <si>
    <t>1 1/2"</t>
  </si>
  <si>
    <t>1"</t>
  </si>
  <si>
    <t>Lap</t>
  </si>
  <si>
    <t>Band Length</t>
  </si>
  <si>
    <t>Metal Length</t>
  </si>
  <si>
    <t>Diameter</t>
  </si>
  <si>
    <t>Thickness</t>
  </si>
  <si>
    <t>-</t>
  </si>
  <si>
    <t>Insulation Thickness</t>
  </si>
  <si>
    <t>Iron Pipe Size</t>
  </si>
  <si>
    <t>Jacketing and 45 Degree Elbows</t>
  </si>
  <si>
    <t>90 Degree Elbows</t>
  </si>
  <si>
    <t>24"</t>
  </si>
  <si>
    <t>22"</t>
  </si>
  <si>
    <t>20"</t>
  </si>
  <si>
    <t>18"</t>
  </si>
  <si>
    <t>16"</t>
  </si>
  <si>
    <t>14"</t>
  </si>
  <si>
    <t>12"</t>
  </si>
  <si>
    <t>10"</t>
  </si>
  <si>
    <t>8"</t>
  </si>
  <si>
    <t>6"</t>
  </si>
  <si>
    <t>1 1/4"</t>
  </si>
  <si>
    <t>3/4"</t>
  </si>
  <si>
    <t>19#</t>
  </si>
  <si>
    <t>1/2"</t>
  </si>
  <si>
    <t>#2</t>
  </si>
  <si>
    <t>3/8"</t>
  </si>
  <si>
    <t>5 1/2"</t>
  </si>
  <si>
    <t>3/12"</t>
  </si>
  <si>
    <t>OCF</t>
  </si>
  <si>
    <t>6 1/8"</t>
  </si>
  <si>
    <t>5 1/8"</t>
  </si>
  <si>
    <t>4 1/8"</t>
  </si>
  <si>
    <t>3 5/8"</t>
  </si>
  <si>
    <t>3 1/8"</t>
  </si>
  <si>
    <t>2 5/8"</t>
  </si>
  <si>
    <t>2 1/8"</t>
  </si>
  <si>
    <t>1 5/8"</t>
  </si>
  <si>
    <t>1 3/8"</t>
  </si>
  <si>
    <t>1 1/8"</t>
  </si>
  <si>
    <t>7/8"</t>
  </si>
  <si>
    <t>5/8"</t>
  </si>
  <si>
    <t>Actual OD</t>
  </si>
  <si>
    <t>Copper Tubing Size</t>
  </si>
  <si>
    <t>Copper Tube Table</t>
  </si>
  <si>
    <t>GORE</t>
  </si>
  <si>
    <t>inch</t>
  </si>
  <si>
    <t>mm</t>
  </si>
  <si>
    <t>45° Aluminum ELL-JACS</t>
  </si>
  <si>
    <t>90 ° Aluminum ELL-JACS</t>
  </si>
  <si>
    <t>Stick Built</t>
  </si>
  <si>
    <t>SB</t>
  </si>
  <si>
    <t>Process Module (Piping Mod)</t>
  </si>
  <si>
    <t>PM</t>
  </si>
  <si>
    <t>Blow Down</t>
  </si>
  <si>
    <t>BD</t>
  </si>
  <si>
    <t>Field Weld</t>
  </si>
  <si>
    <t>FW</t>
  </si>
  <si>
    <t>Steam Trap</t>
  </si>
  <si>
    <t>T</t>
  </si>
  <si>
    <t>Pressure Indicator</t>
  </si>
  <si>
    <t>PI</t>
  </si>
  <si>
    <t>Level Alarm</t>
  </si>
  <si>
    <t>LA</t>
  </si>
  <si>
    <t>Flow Recorder</t>
  </si>
  <si>
    <t>FR</t>
  </si>
  <si>
    <t>Flow Indicator</t>
  </si>
  <si>
    <t>FI</t>
  </si>
  <si>
    <t>Level Control</t>
  </si>
  <si>
    <t>LC</t>
  </si>
  <si>
    <t>Level Gauge</t>
  </si>
  <si>
    <t>LG</t>
  </si>
  <si>
    <t>Level Control Valve</t>
  </si>
  <si>
    <t>LCV</t>
  </si>
  <si>
    <t>Top of Steel</t>
  </si>
  <si>
    <t>TOS</t>
  </si>
  <si>
    <t xml:space="preserve"> Flush on Face</t>
  </si>
  <si>
    <t>FOF</t>
  </si>
  <si>
    <t>Temperature Indicator</t>
  </si>
  <si>
    <t>TI</t>
  </si>
  <si>
    <t>Pressure Controller</t>
  </si>
  <si>
    <t>PC</t>
  </si>
  <si>
    <t>Level Recording Controller</t>
  </si>
  <si>
    <t>LRC</t>
  </si>
  <si>
    <t>Temperature Indicator Controller</t>
  </si>
  <si>
    <t>TIC</t>
  </si>
  <si>
    <t>Delta Pressure Suction Head</t>
  </si>
  <si>
    <t>DPSH</t>
  </si>
  <si>
    <t>Delta Pressure Indicator</t>
  </si>
  <si>
    <t>DPI</t>
  </si>
  <si>
    <t>Flow recorder Controller</t>
  </si>
  <si>
    <t>FRC</t>
  </si>
  <si>
    <t>Temperature Recorder Controller</t>
  </si>
  <si>
    <t>TRC</t>
  </si>
  <si>
    <t>Temperature Control Valve</t>
  </si>
  <si>
    <t>TCV</t>
  </si>
  <si>
    <t>Pressure Safety Valve</t>
  </si>
  <si>
    <t>PSV</t>
  </si>
  <si>
    <t>Top of Concrete</t>
  </si>
  <si>
    <t>TOC</t>
  </si>
  <si>
    <t xml:space="preserve">Center Line — - — - — - — - </t>
  </si>
  <si>
    <t>CL</t>
  </si>
  <si>
    <t>ILS</t>
  </si>
  <si>
    <t>OLS</t>
  </si>
  <si>
    <t>ID</t>
  </si>
  <si>
    <t>OC</t>
  </si>
  <si>
    <t>OD</t>
  </si>
  <si>
    <t>Weight Number</t>
  </si>
  <si>
    <t>Number of Divisions</t>
  </si>
  <si>
    <t>Number of Divisions2</t>
  </si>
  <si>
    <t>Weight Number3</t>
  </si>
  <si>
    <t>Call out size in "</t>
  </si>
  <si>
    <t>Actual Size in inches</t>
  </si>
  <si>
    <t>14 +</t>
  </si>
  <si>
    <t>Equal to call out</t>
  </si>
  <si>
    <t>Iron</t>
  </si>
  <si>
    <t>Copper Pipe</t>
  </si>
  <si>
    <t>&amp; up</t>
  </si>
  <si>
    <t>IPS</t>
  </si>
  <si>
    <t>IBS Pipe Size In Inches</t>
  </si>
  <si>
    <t>H</t>
  </si>
  <si>
    <t>M</t>
  </si>
  <si>
    <t>5/8" Crimp</t>
  </si>
  <si>
    <t>OD of Insulation</t>
  </si>
  <si>
    <t>End Caps and Cladding</t>
  </si>
  <si>
    <t>Divider Settings</t>
  </si>
  <si>
    <t>Sizing</t>
  </si>
  <si>
    <t>Cap</t>
  </si>
  <si>
    <t>Metal</t>
  </si>
  <si>
    <t>Cut &amp; Roll With Laps</t>
  </si>
  <si>
    <t>Blank Height</t>
  </si>
  <si>
    <t>Inside Diameter</t>
  </si>
  <si>
    <t>Outside Diameter</t>
  </si>
  <si>
    <t>Outer Circumference</t>
  </si>
  <si>
    <t>2-1/2"</t>
  </si>
  <si>
    <t>1-1/2"</t>
  </si>
  <si>
    <t>3-1/2"</t>
  </si>
  <si>
    <t>4-1/2"</t>
  </si>
  <si>
    <t>5-1/2"</t>
  </si>
  <si>
    <t>11"</t>
  </si>
  <si>
    <t>17"</t>
  </si>
  <si>
    <t>1-1/4"</t>
  </si>
  <si>
    <t>7"</t>
  </si>
  <si>
    <t>9"</t>
  </si>
  <si>
    <t>15"</t>
  </si>
  <si>
    <t>19"</t>
  </si>
  <si>
    <t>21"</t>
  </si>
  <si>
    <t>23"</t>
  </si>
  <si>
    <t>25"</t>
  </si>
  <si>
    <t>26"</t>
  </si>
  <si>
    <t>27"</t>
  </si>
  <si>
    <t>28"</t>
  </si>
  <si>
    <t>29"</t>
  </si>
  <si>
    <t>30"</t>
  </si>
  <si>
    <t>Iron Pipe Size | Insulation Thickness</t>
  </si>
  <si>
    <t>Electrical Metallic Tubing Data — Thinwall Conduit</t>
  </si>
  <si>
    <t>Nominal Conduit Size (in.)</t>
  </si>
  <si>
    <t>Nominal Conduit Size (mm)</t>
  </si>
  <si>
    <t>Outside Diameter (in.)</t>
  </si>
  <si>
    <t>Outside Diameter (mm)</t>
  </si>
  <si>
    <t>Inside Diameter (in.)</t>
  </si>
  <si>
    <t>Inside Diameter (mm)</t>
  </si>
  <si>
    <t>Weight per 100 ft / 30.5 m (lb)</t>
  </si>
  <si>
    <t>Weight per 100 ft / 30.5 m (kg)</t>
  </si>
  <si>
    <t>Weight of Conduit &amp; Conductors per 100 ft / 30.5 m* (lb)</t>
  </si>
  <si>
    <t>Weight of Conduit &amp; Conductors per 100 ft / 30.5 m* (kg)</t>
  </si>
  <si>
    <t>* Weight of conduit and conductors is based on the source chart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</si>
</sst>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/>
      <top/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F497D"/>
      </top>
      <bottom/>
      <diagonal/>
    </border>
    <border>
      <left style="thin">
        <color rgb="FF1F497D"/>
      </left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/>
      <top/>
      <bottom style="thin">
        <color rgb="FF1F497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87">
    <xf numFmtId="0" fontId="0" fillId="0" borderId="0" xfId="0"/>
    <xf numFmtId="13" fontId="0" fillId="0" borderId="0" xfId="0" applyNumberFormat="1"/>
    <xf numFmtId="0" fontId="1" fillId="0" borderId="0" xfId="0" applyFont="1" applyAlignment="1">
      <alignment horizontal="center"/>
    </xf>
    <xf numFmtId="1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2" fontId="0" fillId="0" borderId="0" xfId="0" applyNumberFormat="1"/>
    <xf numFmtId="1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3" fontId="0" fillId="0" borderId="2" xfId="0" applyNumberFormat="1" applyBorder="1" applyAlignment="1">
      <alignment horizontal="center"/>
    </xf>
    <xf numFmtId="13" fontId="0" fillId="2" borderId="2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3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3" fontId="0" fillId="2" borderId="8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2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12" fontId="0" fillId="0" borderId="10" xfId="0" applyNumberFormat="1" applyBorder="1"/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64" fontId="0" fillId="0" borderId="0" xfId="73" applyNumberFormat="1" applyFont="1"/>
    <xf numFmtId="0" fontId="0" fillId="0" borderId="0" xfId="0" applyAlignment="1">
      <alignment wrapText="1"/>
    </xf>
    <xf numFmtId="164" fontId="0" fillId="0" borderId="0" xfId="73" applyNumberFormat="1" applyFont="1" applyAlignment="1">
      <alignment wrapText="1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3" fontId="0" fillId="0" borderId="10" xfId="0" applyNumberFormat="1" applyBorder="1" applyAlignment="1">
      <alignment horizontal="center" vertical="center"/>
    </xf>
    <xf numFmtId="13" fontId="0" fillId="0" borderId="0" xfId="0" applyNumberFormat="1" applyAlignment="1">
      <alignment horizontal="center" wrapText="1"/>
    </xf>
    <xf numFmtId="13" fontId="0" fillId="3" borderId="10" xfId="0" applyNumberFormat="1" applyFill="1" applyBorder="1" applyAlignment="1">
      <alignment horizontal="center" vertical="center"/>
    </xf>
    <xf numFmtId="13" fontId="1" fillId="0" borderId="10" xfId="0" applyNumberFormat="1" applyFont="1" applyBorder="1" applyAlignment="1">
      <alignment horizontal="center" vertical="center" wrapText="1"/>
    </xf>
    <xf numFmtId="12" fontId="9" fillId="0" borderId="17" xfId="0" applyNumberFormat="1" applyFont="1" applyBorder="1" applyAlignment="1">
      <alignment horizontal="center" vertical="center"/>
    </xf>
    <xf numFmtId="12" fontId="9" fillId="0" borderId="18" xfId="0" applyNumberFormat="1" applyFont="1" applyBorder="1" applyAlignment="1">
      <alignment horizontal="center" vertical="center"/>
    </xf>
    <xf numFmtId="12" fontId="9" fillId="0" borderId="19" xfId="0" applyNumberFormat="1" applyFont="1" applyBorder="1" applyAlignment="1">
      <alignment horizontal="center" vertical="center"/>
    </xf>
    <xf numFmtId="12" fontId="9" fillId="0" borderId="15" xfId="0" applyNumberFormat="1" applyFont="1" applyBorder="1" applyAlignment="1">
      <alignment horizontal="center" vertical="center"/>
    </xf>
    <xf numFmtId="12" fontId="9" fillId="0" borderId="10" xfId="0" applyNumberFormat="1" applyFont="1" applyBorder="1" applyAlignment="1">
      <alignment horizontal="center" vertical="center"/>
    </xf>
    <xf numFmtId="12" fontId="9" fillId="0" borderId="16" xfId="0" applyNumberFormat="1" applyFont="1" applyBorder="1" applyAlignment="1">
      <alignment horizontal="center" vertical="center"/>
    </xf>
    <xf numFmtId="12" fontId="9" fillId="0" borderId="20" xfId="0" applyNumberFormat="1" applyFont="1" applyBorder="1" applyAlignment="1">
      <alignment horizontal="center" vertical="center"/>
    </xf>
    <xf numFmtId="12" fontId="9" fillId="0" borderId="21" xfId="0" applyNumberFormat="1" applyFont="1" applyBorder="1" applyAlignment="1">
      <alignment horizontal="center" vertical="center"/>
    </xf>
    <xf numFmtId="12" fontId="9" fillId="0" borderId="22" xfId="0" applyNumberFormat="1" applyFont="1" applyBorder="1" applyAlignment="1">
      <alignment horizontal="center" vertical="center"/>
    </xf>
    <xf numFmtId="0" fontId="5" fillId="0" borderId="26" xfId="0" applyFont="1" applyBorder="1"/>
    <xf numFmtId="0" fontId="5" fillId="0" borderId="10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10" fillId="0" borderId="26" xfId="0" applyFont="1" applyBorder="1" applyAlignment="1">
      <alignment textRotation="90"/>
    </xf>
    <xf numFmtId="0" fontId="10" fillId="0" borderId="10" xfId="0" applyFont="1" applyBorder="1" applyAlignment="1">
      <alignment textRotation="90"/>
    </xf>
    <xf numFmtId="0" fontId="10" fillId="0" borderId="27" xfId="0" applyFont="1" applyBorder="1" applyAlignment="1">
      <alignment textRotation="90"/>
    </xf>
    <xf numFmtId="0" fontId="5" fillId="0" borderId="0" xfId="0" applyFont="1" applyAlignment="1">
      <alignment textRotation="90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3" fontId="0" fillId="3" borderId="10" xfId="0" applyNumberFormat="1" applyFill="1" applyBorder="1" applyAlignment="1">
      <alignment horizontal="center" vertical="center"/>
    </xf>
    <xf numFmtId="12" fontId="0" fillId="3" borderId="10" xfId="0" applyNumberFormat="1" applyFill="1" applyBorder="1" applyAlignment="1">
      <alignment horizontal="center" vertical="center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2" fontId="5" fillId="0" borderId="10" xfId="0" applyNumberFormat="1" applyFont="1" applyBorder="1" applyAlignment="1">
      <alignment horizontal="center" vertical="center" wrapText="1"/>
    </xf>
    <xf numFmtId="12" fontId="5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3" fontId="0" fillId="0" borderId="0" xfId="0" applyNumberFormat="1" applyAlignment="1">
      <alignment horizontal="center"/>
    </xf>
    <xf numFmtId="13" fontId="0" fillId="0" borderId="0" xfId="0" applyNumberFormat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</cellXfs>
  <cellStyles count="74">
    <cellStyle name="Comma" xfId="73" builtinId="3"/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Normal" xfId="0" builtinId="0"/>
  </cellStyles>
  <dxfs count="43"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0_-;\-* #,##0.000_-;_-* &quot;-&quot;??_-;_-@_-"/>
    </dxf>
    <dxf>
      <alignment horizontal="general" vertical="bottom" textRotation="0" wrapText="1" indent="0" justifyLastLine="0" shrinkToFit="0" readingOrder="0"/>
    </dxf>
    <dxf>
      <numFmt numFmtId="18" formatCode="#\ ??/??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" formatCode="#\ ??/??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" formatCode="#\ ??/??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" formatCode="#\ ??/??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" formatCode="#\ ??/??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" formatCode="#\ ??/??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0"/>
        </top>
      </border>
    </dxf>
    <dxf>
      <border outline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" formatCode="#\ ??/??"/>
      <alignment horizontal="center" vertical="bottom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" formatCode="#\ ??/??"/>
      <alignment horizontal="center" vertical="bottom" textRotation="0" wrapText="0" indent="0" justifyLastLine="0" shrinkToFit="0" readingOrder="0"/>
      <border diagonalUp="0" diagonalDown="0"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 outline="0">
        <top style="thin">
          <color theme="8"/>
        </top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8" formatCode="#\ ??/??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8" formatCode="#\ ??/??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8" formatCode="#\ ??/??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8" formatCode="#\ ??/??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F1:M33" totalsRowShown="0" headerRowDxfId="42" dataDxfId="41">
  <autoFilter ref="F1:M33" xr:uid="{00000000-0009-0000-0100-000001000000}"/>
  <tableColumns count="8">
    <tableColumn id="1" xr3:uid="{00000000-0010-0000-0000-000001000000}" name="Fraction" dataDxfId="40"/>
    <tableColumn id="2" xr3:uid="{00000000-0010-0000-0000-000002000000}" name="Decimal" dataDxfId="39"/>
    <tableColumn id="3" xr3:uid="{00000000-0010-0000-0000-000003000000}" name="Fraction2" dataDxfId="38"/>
    <tableColumn id="4" xr3:uid="{00000000-0010-0000-0000-000004000000}" name="Decimal3" dataDxfId="37"/>
    <tableColumn id="5" xr3:uid="{00000000-0010-0000-0000-000005000000}" name="Fraction4" dataDxfId="36"/>
    <tableColumn id="6" xr3:uid="{00000000-0010-0000-0000-000006000000}" name="Decimal5" dataDxfId="35"/>
    <tableColumn id="7" xr3:uid="{00000000-0010-0000-0000-000007000000}" name="Fraction6" dataDxfId="34"/>
    <tableColumn id="8" xr3:uid="{00000000-0010-0000-0000-000008000000}" name="Decimal7" dataDxfId="33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P1:S17" totalsRowShown="0" headerRowDxfId="32" headerRowBorderDxfId="31" tableBorderDxfId="30" totalsRowBorderDxfId="29">
  <autoFilter ref="P1:S17" xr:uid="{00000000-0009-0000-0100-000004000000}"/>
  <tableColumns count="4">
    <tableColumn id="1" xr3:uid="{00000000-0010-0000-0100-000001000000}" name="Fraction" dataDxfId="28"/>
    <tableColumn id="2" xr3:uid="{00000000-0010-0000-0100-000002000000}" name="Decimal" dataDxfId="27"/>
    <tableColumn id="3" xr3:uid="{00000000-0010-0000-0100-000003000000}" name="Fraction2" dataDxfId="26"/>
    <tableColumn id="4" xr3:uid="{00000000-0010-0000-0100-000004000000}" name="Decimal3" dataDxfId="2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G23" totalsRowShown="0" headerRowDxfId="24" dataDxfId="22" headerRowBorderDxfId="23" tableBorderDxfId="21" totalsRowBorderDxfId="20">
  <autoFilter ref="A3:G23" xr:uid="{00000000-0009-0000-0100-000003000000}"/>
  <tableColumns count="7">
    <tableColumn id="1" xr3:uid="{00000000-0010-0000-0200-000001000000}" name="Cap" dataDxfId="19"/>
    <tableColumn id="2" xr3:uid="{00000000-0010-0000-0200-000002000000}" name="OD of Insulation" dataDxfId="18"/>
    <tableColumn id="7" xr3:uid="{00000000-0010-0000-0200-000007000000}" name="5/8&quot; Crimp" dataDxfId="17">
      <calculatedColumnFormula>ROUND((B4/2+(5/8))*16,0)/16</calculatedColumnFormula>
    </tableColumn>
    <tableColumn id="3" xr3:uid="{00000000-0010-0000-0200-000003000000}" name="Diameter" dataDxfId="16">
      <calculatedColumnFormula>(Table3[[#This Row],[5/8" Crimp]]*2)+0.25</calculatedColumnFormula>
    </tableColumn>
    <tableColumn id="6" xr3:uid="{00000000-0010-0000-0200-000006000000}" name="Blank Height" dataDxfId="15">
      <calculatedColumnFormula>(((Table3[[#This Row],[5/8" Crimp]]*2)+0.25)/2)+1</calculatedColumnFormula>
    </tableColumn>
    <tableColumn id="4" xr3:uid="{00000000-0010-0000-0200-000004000000}" name="3/16&quot; Easy Edge" dataDxfId="14">
      <calculatedColumnFormula>ROUND((B4/2+(3/16))*32,0)/32</calculatedColumnFormula>
    </tableColumn>
    <tableColumn id="5" xr3:uid="{00000000-0010-0000-0200-000005000000}" name="Cut &amp; Roll With Laps" dataDxfId="13">
      <calculatedColumnFormula>ROUND((B4*3.1415 +IF(B4&gt;=16,3,2))*16,0)/16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A6C342-35A7-4DD1-8E92-FEB3B5E8D510}" name="Table5" displayName="Table5" ref="A1:G14" totalsRowShown="0">
  <autoFilter ref="A1:G14" xr:uid="{A98A2047-065E-4D9F-878F-3BB40ABA1CA9}"/>
  <tableColumns count="7">
    <tableColumn id="1" xr3:uid="{0EAC7EE9-D88C-485E-B045-08E63369ABF8}" name="Pipe Size"/>
    <tableColumn id="2" xr3:uid="{F7BD378E-A529-4B06-8EA3-456DBFF96EFF}" name="150 #"/>
    <tableColumn id="3" xr3:uid="{8D79260B-C5C4-4D04-B73F-9D0EC1E73CD6}" name="300 #"/>
    <tableColumn id="4" xr3:uid="{04B15877-E938-4C63-86B2-74620F66E9B2}" name="400 #"/>
    <tableColumn id="5" xr3:uid="{A6B6031B-FFEB-4FA4-8621-D1E1E1212CD1}" name="600 #"/>
    <tableColumn id="6" xr3:uid="{20D5D6F4-845D-437D-AA91-205E5AFF1CA6}" name="900 #"/>
    <tableColumn id="7" xr3:uid="{EB916957-18D2-4712-8CDB-99FCB20647AB}" name="1500 #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D36" totalsRowShown="0" headerRowDxfId="12">
  <autoFilter ref="A1:D36" xr:uid="{00000000-0009-0000-0100-000002000000}"/>
  <tableColumns count="4">
    <tableColumn id="1" xr3:uid="{00000000-0010-0000-0300-000001000000}" name="Number of Divisions"/>
    <tableColumn id="2" xr3:uid="{00000000-0010-0000-0300-000002000000}" name="Weight Number" dataDxfId="11" dataCellStyle="Comma"/>
    <tableColumn id="3" xr3:uid="{00000000-0010-0000-0300-000003000000}" name="Number of Divisions2"/>
    <tableColumn id="4" xr3:uid="{00000000-0010-0000-0300-000004000000}" name="Weight Number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1A137E-263D-4871-82E9-B09C094BC855}" name="Table6" displayName="Table6" ref="A1:F99" totalsRowShown="0" headerRowDxfId="10" dataDxfId="8" headerRowBorderDxfId="9" tableBorderDxfId="7" totalsRowBorderDxfId="6">
  <autoFilter ref="A1:F99" xr:uid="{7336DF45-D3C4-4A39-BE29-C1CD439B2CD3}"/>
  <tableColumns count="6">
    <tableColumn id="1" xr3:uid="{A1069BC0-F23C-42CB-9313-BC7312836CB7}" name="Pipe Size" dataDxfId="5"/>
    <tableColumn id="2" xr3:uid="{4594B617-3782-4D87-9BF8-2ABB46A6E456}" name="Thickness" dataDxfId="4"/>
    <tableColumn id="3" xr3:uid="{79DCE25F-7290-44ED-A83B-E4C3F5F2106F}" name="Diameter" dataDxfId="3"/>
    <tableColumn id="4" xr3:uid="{816FC603-3915-40BB-AAFA-38A4BC3B655C}" name="Metal Length" dataDxfId="2"/>
    <tableColumn id="5" xr3:uid="{3C5EB54F-68CF-40F2-891A-A5B8836344A8}" name="Band Length" dataDxfId="1"/>
    <tableColumn id="6" xr3:uid="{457C15DA-FADC-4F93-9376-FDEB71BEAA52}" name="Lap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S65"/>
  <sheetViews>
    <sheetView topLeftCell="C1" workbookViewId="0">
      <selection activeCell="P24" sqref="P24"/>
    </sheetView>
  </sheetViews>
  <sheetFormatPr defaultColWidth="8.88671875" defaultRowHeight="14.4" x14ac:dyDescent="0.3"/>
  <cols>
    <col min="6" max="7" width="10.33203125" customWidth="1"/>
    <col min="8" max="13" width="11.33203125" customWidth="1"/>
    <col min="16" max="17" width="10.33203125" customWidth="1"/>
    <col min="18" max="19" width="11.33203125" customWidth="1"/>
  </cols>
  <sheetData>
    <row r="1" spans="1:19" ht="15" thickBot="1" x14ac:dyDescent="0.35"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P1" s="16" t="s">
        <v>0</v>
      </c>
      <c r="Q1" s="17" t="s">
        <v>1</v>
      </c>
      <c r="R1" s="17" t="s">
        <v>2</v>
      </c>
      <c r="S1" s="18" t="s">
        <v>3</v>
      </c>
    </row>
    <row r="2" spans="1:19" x14ac:dyDescent="0.3">
      <c r="A2">
        <v>1</v>
      </c>
      <c r="B2">
        <f>A2/64</f>
        <v>1.5625E-2</v>
      </c>
      <c r="C2" s="1">
        <f>A2/64</f>
        <v>1.5625E-2</v>
      </c>
      <c r="F2" s="3">
        <v>1.5625E-2</v>
      </c>
      <c r="G2" s="4">
        <v>1.5625E-2</v>
      </c>
      <c r="H2" s="3">
        <v>0.515625</v>
      </c>
      <c r="I2" s="4">
        <v>0.515625</v>
      </c>
      <c r="J2" s="3"/>
      <c r="K2" s="4"/>
      <c r="L2" s="3"/>
      <c r="M2" s="4"/>
      <c r="P2" s="12">
        <v>3.125E-2</v>
      </c>
      <c r="Q2" s="9">
        <v>3.125E-2</v>
      </c>
      <c r="R2" s="8">
        <v>0.53125</v>
      </c>
      <c r="S2" s="14">
        <v>0.53125</v>
      </c>
    </row>
    <row r="3" spans="1:19" x14ac:dyDescent="0.3">
      <c r="A3">
        <v>2</v>
      </c>
      <c r="B3">
        <f t="shared" ref="B3:B65" si="0">A3/64</f>
        <v>3.125E-2</v>
      </c>
      <c r="C3" s="1">
        <f t="shared" ref="C3:C65" si="1">A3/64</f>
        <v>3.125E-2</v>
      </c>
      <c r="F3" s="3">
        <v>3.125E-2</v>
      </c>
      <c r="G3" s="4">
        <v>3.125E-2</v>
      </c>
      <c r="H3" s="3">
        <v>0.53125</v>
      </c>
      <c r="I3" s="4">
        <v>0.53125</v>
      </c>
      <c r="J3" s="3"/>
      <c r="K3" s="4"/>
      <c r="L3" s="3"/>
      <c r="M3" s="4"/>
      <c r="P3" s="12">
        <v>6.25E-2</v>
      </c>
      <c r="Q3" s="9">
        <v>6.25E-2</v>
      </c>
      <c r="R3" s="8">
        <v>0.5625</v>
      </c>
      <c r="S3" s="14">
        <v>0.5625</v>
      </c>
    </row>
    <row r="4" spans="1:19" x14ac:dyDescent="0.3">
      <c r="A4">
        <v>3</v>
      </c>
      <c r="B4">
        <f t="shared" si="0"/>
        <v>4.6875E-2</v>
      </c>
      <c r="C4" s="1">
        <f t="shared" si="1"/>
        <v>4.6875E-2</v>
      </c>
      <c r="F4" s="3">
        <v>4.6875E-2</v>
      </c>
      <c r="G4" s="4">
        <v>4.6875E-2</v>
      </c>
      <c r="H4" s="3">
        <v>0.546875</v>
      </c>
      <c r="I4" s="4">
        <v>0.546875</v>
      </c>
      <c r="J4" s="3"/>
      <c r="K4" s="4"/>
      <c r="L4" s="3"/>
      <c r="M4" s="4"/>
      <c r="P4" s="12">
        <v>9.375E-2</v>
      </c>
      <c r="Q4" s="9">
        <v>9.375E-2</v>
      </c>
      <c r="R4" s="8">
        <v>0.59375</v>
      </c>
      <c r="S4" s="14">
        <v>0.59375</v>
      </c>
    </row>
    <row r="5" spans="1:19" x14ac:dyDescent="0.3">
      <c r="A5">
        <v>4</v>
      </c>
      <c r="B5">
        <f t="shared" si="0"/>
        <v>6.25E-2</v>
      </c>
      <c r="C5" s="1">
        <f t="shared" si="1"/>
        <v>6.25E-2</v>
      </c>
      <c r="F5" s="3">
        <v>6.25E-2</v>
      </c>
      <c r="G5" s="4">
        <v>6.25E-2</v>
      </c>
      <c r="H5" s="3">
        <v>0.5625</v>
      </c>
      <c r="I5" s="4">
        <v>0.5625</v>
      </c>
      <c r="J5" s="3"/>
      <c r="K5" s="4"/>
      <c r="L5" s="3"/>
      <c r="M5" s="4"/>
      <c r="P5" s="13">
        <v>0.125</v>
      </c>
      <c r="Q5" s="11">
        <v>0.125</v>
      </c>
      <c r="R5" s="10">
        <v>0.625</v>
      </c>
      <c r="S5" s="15">
        <v>0.625</v>
      </c>
    </row>
    <row r="6" spans="1:19" x14ac:dyDescent="0.3">
      <c r="A6">
        <v>5</v>
      </c>
      <c r="B6">
        <f t="shared" si="0"/>
        <v>7.8125E-2</v>
      </c>
      <c r="C6" s="1">
        <f t="shared" si="1"/>
        <v>7.8125E-2</v>
      </c>
      <c r="F6" s="3">
        <v>7.8125E-2</v>
      </c>
      <c r="G6" s="4">
        <v>7.8125E-2</v>
      </c>
      <c r="H6" s="3">
        <v>0.578125</v>
      </c>
      <c r="I6" s="4">
        <v>0.578125</v>
      </c>
      <c r="J6" s="3"/>
      <c r="K6" s="4"/>
      <c r="L6" s="3"/>
      <c r="M6" s="4"/>
      <c r="P6" s="12">
        <v>0.15625</v>
      </c>
      <c r="Q6" s="9">
        <v>0.15625</v>
      </c>
      <c r="R6" s="8">
        <v>0.65625</v>
      </c>
      <c r="S6" s="14">
        <v>0.65625</v>
      </c>
    </row>
    <row r="7" spans="1:19" x14ac:dyDescent="0.3">
      <c r="A7">
        <v>6</v>
      </c>
      <c r="B7">
        <f t="shared" si="0"/>
        <v>9.375E-2</v>
      </c>
      <c r="C7" s="1">
        <f t="shared" si="1"/>
        <v>9.375E-2</v>
      </c>
      <c r="F7" s="3">
        <v>9.375E-2</v>
      </c>
      <c r="G7" s="4">
        <v>9.375E-2</v>
      </c>
      <c r="H7" s="3">
        <v>0.59375</v>
      </c>
      <c r="I7" s="4">
        <v>0.59375</v>
      </c>
      <c r="J7" s="3"/>
      <c r="K7" s="4"/>
      <c r="L7" s="3"/>
      <c r="M7" s="4"/>
      <c r="P7" s="12">
        <v>0.1875</v>
      </c>
      <c r="Q7" s="9">
        <v>0.1875</v>
      </c>
      <c r="R7" s="8">
        <v>0.6875</v>
      </c>
      <c r="S7" s="14">
        <v>0.6875</v>
      </c>
    </row>
    <row r="8" spans="1:19" x14ac:dyDescent="0.3">
      <c r="A8">
        <v>7</v>
      </c>
      <c r="B8">
        <f t="shared" si="0"/>
        <v>0.109375</v>
      </c>
      <c r="C8" s="1">
        <f t="shared" si="1"/>
        <v>0.109375</v>
      </c>
      <c r="F8" s="3">
        <v>0.109375</v>
      </c>
      <c r="G8" s="4">
        <v>0.109375</v>
      </c>
      <c r="H8" s="3">
        <v>0.609375</v>
      </c>
      <c r="I8" s="4">
        <v>0.609375</v>
      </c>
      <c r="J8" s="3"/>
      <c r="K8" s="4"/>
      <c r="L8" s="3"/>
      <c r="M8" s="4"/>
      <c r="P8" s="12">
        <v>0.21875</v>
      </c>
      <c r="Q8" s="9">
        <v>0.21875</v>
      </c>
      <c r="R8" s="8">
        <v>0.71875</v>
      </c>
      <c r="S8" s="14">
        <v>0.71875</v>
      </c>
    </row>
    <row r="9" spans="1:19" x14ac:dyDescent="0.3">
      <c r="A9">
        <v>8</v>
      </c>
      <c r="B9">
        <f t="shared" si="0"/>
        <v>0.125</v>
      </c>
      <c r="C9" s="1">
        <f t="shared" si="1"/>
        <v>0.125</v>
      </c>
      <c r="F9" s="5">
        <v>0.125</v>
      </c>
      <c r="G9" s="6">
        <v>0.125</v>
      </c>
      <c r="H9" s="5">
        <v>0.625</v>
      </c>
      <c r="I9" s="6">
        <v>0.625</v>
      </c>
      <c r="J9" s="3"/>
      <c r="K9" s="4"/>
      <c r="L9" s="3"/>
      <c r="M9" s="4"/>
      <c r="P9" s="13">
        <v>0.25</v>
      </c>
      <c r="Q9" s="11">
        <v>0.25</v>
      </c>
      <c r="R9" s="10">
        <v>0.75</v>
      </c>
      <c r="S9" s="15">
        <v>0.75</v>
      </c>
    </row>
    <row r="10" spans="1:19" x14ac:dyDescent="0.3">
      <c r="A10">
        <v>9</v>
      </c>
      <c r="B10">
        <f t="shared" si="0"/>
        <v>0.140625</v>
      </c>
      <c r="C10" s="1">
        <f t="shared" si="1"/>
        <v>0.140625</v>
      </c>
      <c r="F10" s="3">
        <v>0.140625</v>
      </c>
      <c r="G10" s="4">
        <v>0.140625</v>
      </c>
      <c r="H10" s="3">
        <v>0.640625</v>
      </c>
      <c r="I10" s="4">
        <v>0.640625</v>
      </c>
      <c r="J10" s="3"/>
      <c r="K10" s="4"/>
      <c r="L10" s="3"/>
      <c r="M10" s="4"/>
      <c r="P10" s="12">
        <v>0.28125</v>
      </c>
      <c r="Q10" s="9">
        <v>0.28125</v>
      </c>
      <c r="R10" s="8">
        <v>0.78125</v>
      </c>
      <c r="S10" s="14">
        <v>0.78125</v>
      </c>
    </row>
    <row r="11" spans="1:19" x14ac:dyDescent="0.3">
      <c r="A11">
        <v>10</v>
      </c>
      <c r="B11">
        <f t="shared" si="0"/>
        <v>0.15625</v>
      </c>
      <c r="C11" s="1">
        <f t="shared" si="1"/>
        <v>0.15625</v>
      </c>
      <c r="F11" s="3">
        <v>0.15625</v>
      </c>
      <c r="G11" s="4">
        <v>0.15625</v>
      </c>
      <c r="H11" s="3">
        <v>0.65625</v>
      </c>
      <c r="I11" s="4">
        <v>0.65625</v>
      </c>
      <c r="J11" s="3"/>
      <c r="K11" s="4"/>
      <c r="L11" s="3"/>
      <c r="M11" s="4"/>
      <c r="P11" s="12">
        <v>0.3125</v>
      </c>
      <c r="Q11" s="9">
        <v>0.3125</v>
      </c>
      <c r="R11" s="8">
        <v>0.8125</v>
      </c>
      <c r="S11" s="14">
        <v>0.8125</v>
      </c>
    </row>
    <row r="12" spans="1:19" x14ac:dyDescent="0.3">
      <c r="A12">
        <v>11</v>
      </c>
      <c r="B12">
        <f t="shared" si="0"/>
        <v>0.171875</v>
      </c>
      <c r="C12" s="1">
        <f t="shared" si="1"/>
        <v>0.171875</v>
      </c>
      <c r="F12" s="3">
        <v>0.171875</v>
      </c>
      <c r="G12" s="4">
        <v>0.171875</v>
      </c>
      <c r="H12" s="3">
        <v>0.671875</v>
      </c>
      <c r="I12" s="4">
        <v>0.671875</v>
      </c>
      <c r="J12" s="3"/>
      <c r="K12" s="4"/>
      <c r="L12" s="3"/>
      <c r="M12" s="4"/>
      <c r="P12" s="12">
        <v>0.34375</v>
      </c>
      <c r="Q12" s="9">
        <v>0.34375</v>
      </c>
      <c r="R12" s="8">
        <v>0.84375</v>
      </c>
      <c r="S12" s="14">
        <v>0.84375</v>
      </c>
    </row>
    <row r="13" spans="1:19" x14ac:dyDescent="0.3">
      <c r="A13">
        <v>12</v>
      </c>
      <c r="B13">
        <f t="shared" si="0"/>
        <v>0.1875</v>
      </c>
      <c r="C13" s="1">
        <f t="shared" si="1"/>
        <v>0.1875</v>
      </c>
      <c r="F13" s="3">
        <v>0.1875</v>
      </c>
      <c r="G13" s="4">
        <v>0.1875</v>
      </c>
      <c r="H13" s="3">
        <v>0.6875</v>
      </c>
      <c r="I13" s="4">
        <v>0.6875</v>
      </c>
      <c r="J13" s="3"/>
      <c r="K13" s="4"/>
      <c r="L13" s="3"/>
      <c r="M13" s="4"/>
      <c r="P13" s="13">
        <v>0.375</v>
      </c>
      <c r="Q13" s="11">
        <v>0.375</v>
      </c>
      <c r="R13" s="10">
        <v>0.875</v>
      </c>
      <c r="S13" s="15">
        <v>0.875</v>
      </c>
    </row>
    <row r="14" spans="1:19" x14ac:dyDescent="0.3">
      <c r="A14">
        <v>13</v>
      </c>
      <c r="B14">
        <f t="shared" si="0"/>
        <v>0.203125</v>
      </c>
      <c r="C14" s="1">
        <f t="shared" si="1"/>
        <v>0.203125</v>
      </c>
      <c r="F14" s="3">
        <v>0.203125</v>
      </c>
      <c r="G14" s="4">
        <v>0.203125</v>
      </c>
      <c r="H14" s="3">
        <v>0.703125</v>
      </c>
      <c r="I14" s="4">
        <v>0.703125</v>
      </c>
      <c r="J14" s="3"/>
      <c r="K14" s="4"/>
      <c r="L14" s="3"/>
      <c r="M14" s="4"/>
      <c r="P14" s="12">
        <v>0.40625</v>
      </c>
      <c r="Q14" s="9">
        <v>0.40625</v>
      </c>
      <c r="R14" s="8">
        <v>0.90625</v>
      </c>
      <c r="S14" s="14">
        <v>0.90625</v>
      </c>
    </row>
    <row r="15" spans="1:19" x14ac:dyDescent="0.3">
      <c r="A15">
        <v>14</v>
      </c>
      <c r="B15">
        <f t="shared" si="0"/>
        <v>0.21875</v>
      </c>
      <c r="C15" s="1">
        <f t="shared" si="1"/>
        <v>0.21875</v>
      </c>
      <c r="F15" s="3">
        <v>0.21875</v>
      </c>
      <c r="G15" s="4">
        <v>0.21875</v>
      </c>
      <c r="H15" s="3">
        <v>0.71875</v>
      </c>
      <c r="I15" s="4">
        <v>0.71875</v>
      </c>
      <c r="J15" s="3"/>
      <c r="K15" s="4"/>
      <c r="L15" s="3"/>
      <c r="M15" s="4"/>
      <c r="P15" s="12">
        <v>0.4375</v>
      </c>
      <c r="Q15" s="9">
        <v>0.4375</v>
      </c>
      <c r="R15" s="8">
        <v>0.9375</v>
      </c>
      <c r="S15" s="14">
        <v>0.9375</v>
      </c>
    </row>
    <row r="16" spans="1:19" x14ac:dyDescent="0.3">
      <c r="A16">
        <v>15</v>
      </c>
      <c r="B16">
        <f t="shared" si="0"/>
        <v>0.234375</v>
      </c>
      <c r="C16" s="1">
        <f t="shared" si="1"/>
        <v>0.234375</v>
      </c>
      <c r="F16" s="3">
        <v>0.234375</v>
      </c>
      <c r="G16" s="4">
        <v>0.234375</v>
      </c>
      <c r="H16" s="3">
        <v>0.734375</v>
      </c>
      <c r="I16" s="4">
        <v>0.734375</v>
      </c>
      <c r="J16" s="3"/>
      <c r="K16" s="4"/>
      <c r="L16" s="3"/>
      <c r="M16" s="4"/>
      <c r="P16" s="12">
        <v>0.46875</v>
      </c>
      <c r="Q16" s="9">
        <v>0.46875</v>
      </c>
      <c r="R16" s="8">
        <v>0.96875</v>
      </c>
      <c r="S16" s="14">
        <v>0.96875</v>
      </c>
    </row>
    <row r="17" spans="1:19" x14ac:dyDescent="0.3">
      <c r="A17">
        <v>16</v>
      </c>
      <c r="B17">
        <f t="shared" si="0"/>
        <v>0.25</v>
      </c>
      <c r="C17" s="1">
        <f t="shared" si="1"/>
        <v>0.25</v>
      </c>
      <c r="F17" s="5">
        <v>0.25</v>
      </c>
      <c r="G17" s="6">
        <v>0.25</v>
      </c>
      <c r="H17" s="5">
        <v>0.75</v>
      </c>
      <c r="I17" s="6">
        <v>0.75</v>
      </c>
      <c r="J17" s="3"/>
      <c r="K17" s="4"/>
      <c r="L17" s="3"/>
      <c r="M17" s="4"/>
      <c r="P17" s="19">
        <v>0.5</v>
      </c>
      <c r="Q17" s="20">
        <v>0.5</v>
      </c>
      <c r="R17" s="21">
        <v>1</v>
      </c>
      <c r="S17" s="22">
        <v>1</v>
      </c>
    </row>
    <row r="18" spans="1:19" x14ac:dyDescent="0.3">
      <c r="A18">
        <v>17</v>
      </c>
      <c r="B18">
        <f t="shared" si="0"/>
        <v>0.265625</v>
      </c>
      <c r="C18" s="1">
        <f t="shared" si="1"/>
        <v>0.265625</v>
      </c>
      <c r="F18" s="3">
        <v>0.265625</v>
      </c>
      <c r="G18" s="4">
        <v>0.265625</v>
      </c>
      <c r="H18" s="3">
        <v>0.765625</v>
      </c>
      <c r="I18" s="4">
        <v>0.765625</v>
      </c>
      <c r="J18" s="3"/>
      <c r="K18" s="4"/>
      <c r="L18" s="3"/>
      <c r="M18" s="4"/>
    </row>
    <row r="19" spans="1:19" x14ac:dyDescent="0.3">
      <c r="A19">
        <v>18</v>
      </c>
      <c r="B19">
        <f t="shared" si="0"/>
        <v>0.28125</v>
      </c>
      <c r="C19" s="1">
        <f t="shared" si="1"/>
        <v>0.28125</v>
      </c>
      <c r="F19" s="3">
        <v>0.28125</v>
      </c>
      <c r="G19" s="4">
        <v>0.28125</v>
      </c>
      <c r="H19" s="3">
        <v>0.78125</v>
      </c>
      <c r="I19" s="4">
        <v>0.78125</v>
      </c>
      <c r="J19" s="3"/>
      <c r="K19" s="4"/>
      <c r="L19" s="3"/>
      <c r="M19" s="4"/>
    </row>
    <row r="20" spans="1:19" x14ac:dyDescent="0.3">
      <c r="A20">
        <v>19</v>
      </c>
      <c r="B20">
        <f t="shared" si="0"/>
        <v>0.296875</v>
      </c>
      <c r="C20" s="1">
        <f t="shared" si="1"/>
        <v>0.296875</v>
      </c>
      <c r="F20" s="3">
        <v>0.296875</v>
      </c>
      <c r="G20" s="4">
        <v>0.296875</v>
      </c>
      <c r="H20" s="3">
        <v>0.796875</v>
      </c>
      <c r="I20" s="4">
        <v>0.796875</v>
      </c>
      <c r="J20" s="3"/>
      <c r="K20" s="4"/>
      <c r="L20" s="3"/>
      <c r="M20" s="4"/>
    </row>
    <row r="21" spans="1:19" x14ac:dyDescent="0.3">
      <c r="A21">
        <v>20</v>
      </c>
      <c r="B21">
        <f t="shared" si="0"/>
        <v>0.3125</v>
      </c>
      <c r="C21" s="1">
        <f t="shared" si="1"/>
        <v>0.3125</v>
      </c>
      <c r="F21" s="3">
        <v>0.3125</v>
      </c>
      <c r="G21" s="4">
        <v>0.3125</v>
      </c>
      <c r="H21" s="3">
        <v>0.8125</v>
      </c>
      <c r="I21" s="4">
        <v>0.8125</v>
      </c>
      <c r="J21" s="3"/>
      <c r="K21" s="4"/>
      <c r="L21" s="3"/>
      <c r="M21" s="4"/>
    </row>
    <row r="22" spans="1:19" x14ac:dyDescent="0.3">
      <c r="A22">
        <v>21</v>
      </c>
      <c r="B22">
        <f t="shared" si="0"/>
        <v>0.328125</v>
      </c>
      <c r="C22" s="1">
        <f t="shared" si="1"/>
        <v>0.328125</v>
      </c>
      <c r="F22" s="3">
        <v>0.328125</v>
      </c>
      <c r="G22" s="4">
        <v>0.328125</v>
      </c>
      <c r="H22" s="3">
        <v>0.828125</v>
      </c>
      <c r="I22" s="4">
        <v>0.828125</v>
      </c>
      <c r="J22" s="3"/>
      <c r="K22" s="4"/>
      <c r="L22" s="3"/>
      <c r="M22" s="4"/>
    </row>
    <row r="23" spans="1:19" x14ac:dyDescent="0.3">
      <c r="A23">
        <v>22</v>
      </c>
      <c r="B23">
        <f t="shared" si="0"/>
        <v>0.34375</v>
      </c>
      <c r="C23" s="1">
        <f t="shared" si="1"/>
        <v>0.34375</v>
      </c>
      <c r="F23" s="3">
        <v>0.34375</v>
      </c>
      <c r="G23" s="4">
        <v>0.34375</v>
      </c>
      <c r="H23" s="3">
        <v>0.84375</v>
      </c>
      <c r="I23" s="4">
        <v>0.84375</v>
      </c>
      <c r="J23" s="3"/>
      <c r="K23" s="4"/>
      <c r="L23" s="3"/>
      <c r="M23" s="4"/>
    </row>
    <row r="24" spans="1:19" x14ac:dyDescent="0.3">
      <c r="A24">
        <v>23</v>
      </c>
      <c r="B24">
        <f t="shared" si="0"/>
        <v>0.359375</v>
      </c>
      <c r="C24" s="1">
        <f t="shared" si="1"/>
        <v>0.359375</v>
      </c>
      <c r="F24" s="3">
        <v>0.359375</v>
      </c>
      <c r="G24" s="4">
        <v>0.359375</v>
      </c>
      <c r="H24" s="3">
        <v>0.859375</v>
      </c>
      <c r="I24" s="4">
        <v>0.859375</v>
      </c>
      <c r="J24" s="3"/>
      <c r="K24" s="4"/>
      <c r="L24" s="3"/>
      <c r="M24" s="4"/>
    </row>
    <row r="25" spans="1:19" x14ac:dyDescent="0.3">
      <c r="A25">
        <v>24</v>
      </c>
      <c r="B25">
        <f t="shared" si="0"/>
        <v>0.375</v>
      </c>
      <c r="C25" s="1">
        <f t="shared" si="1"/>
        <v>0.375</v>
      </c>
      <c r="F25" s="5">
        <v>0.375</v>
      </c>
      <c r="G25" s="6">
        <v>0.375</v>
      </c>
      <c r="H25" s="5">
        <v>0.875</v>
      </c>
      <c r="I25" s="6">
        <v>0.875</v>
      </c>
      <c r="J25" s="3"/>
      <c r="K25" s="4"/>
      <c r="L25" s="3"/>
      <c r="M25" s="4"/>
    </row>
    <row r="26" spans="1:19" x14ac:dyDescent="0.3">
      <c r="A26">
        <v>25</v>
      </c>
      <c r="B26">
        <f t="shared" si="0"/>
        <v>0.390625</v>
      </c>
      <c r="C26" s="1">
        <f t="shared" si="1"/>
        <v>0.390625</v>
      </c>
      <c r="F26" s="3">
        <v>0.390625</v>
      </c>
      <c r="G26" s="4">
        <v>0.390625</v>
      </c>
      <c r="H26" s="3">
        <v>0.890625</v>
      </c>
      <c r="I26" s="4">
        <v>0.890625</v>
      </c>
      <c r="J26" s="3"/>
      <c r="K26" s="4"/>
      <c r="L26" s="3"/>
      <c r="M26" s="4"/>
    </row>
    <row r="27" spans="1:19" x14ac:dyDescent="0.3">
      <c r="A27">
        <v>26</v>
      </c>
      <c r="B27">
        <f t="shared" si="0"/>
        <v>0.40625</v>
      </c>
      <c r="C27" s="1">
        <f t="shared" si="1"/>
        <v>0.40625</v>
      </c>
      <c r="F27" s="3">
        <v>0.40625</v>
      </c>
      <c r="G27" s="4">
        <v>0.40625</v>
      </c>
      <c r="H27" s="3">
        <v>0.90625</v>
      </c>
      <c r="I27" s="4">
        <v>0.90625</v>
      </c>
      <c r="J27" s="3"/>
      <c r="K27" s="4"/>
      <c r="L27" s="3"/>
      <c r="M27" s="4"/>
    </row>
    <row r="28" spans="1:19" x14ac:dyDescent="0.3">
      <c r="A28">
        <v>27</v>
      </c>
      <c r="B28">
        <f t="shared" si="0"/>
        <v>0.421875</v>
      </c>
      <c r="C28" s="1">
        <f t="shared" si="1"/>
        <v>0.421875</v>
      </c>
      <c r="F28" s="3">
        <v>0.421875</v>
      </c>
      <c r="G28" s="4">
        <v>0.421875</v>
      </c>
      <c r="H28" s="3">
        <v>0.921875</v>
      </c>
      <c r="I28" s="4">
        <v>0.921875</v>
      </c>
      <c r="J28" s="3"/>
      <c r="K28" s="4"/>
      <c r="L28" s="3"/>
      <c r="M28" s="4"/>
    </row>
    <row r="29" spans="1:19" x14ac:dyDescent="0.3">
      <c r="A29">
        <v>28</v>
      </c>
      <c r="B29">
        <f t="shared" si="0"/>
        <v>0.4375</v>
      </c>
      <c r="C29" s="1">
        <f t="shared" si="1"/>
        <v>0.4375</v>
      </c>
      <c r="F29" s="3">
        <v>0.4375</v>
      </c>
      <c r="G29" s="4">
        <v>0.4375</v>
      </c>
      <c r="H29" s="3">
        <v>0.9375</v>
      </c>
      <c r="I29" s="4">
        <v>0.9375</v>
      </c>
      <c r="J29" s="3"/>
      <c r="K29" s="4"/>
      <c r="L29" s="3"/>
      <c r="M29" s="4"/>
    </row>
    <row r="30" spans="1:19" x14ac:dyDescent="0.3">
      <c r="A30">
        <v>29</v>
      </c>
      <c r="B30">
        <f t="shared" si="0"/>
        <v>0.453125</v>
      </c>
      <c r="C30" s="1">
        <f t="shared" si="1"/>
        <v>0.453125</v>
      </c>
      <c r="F30" s="3">
        <v>0.453125</v>
      </c>
      <c r="G30" s="4">
        <v>0.453125</v>
      </c>
      <c r="H30" s="3">
        <v>0.953125</v>
      </c>
      <c r="I30" s="4">
        <v>0.953125</v>
      </c>
      <c r="J30" s="3"/>
      <c r="K30" s="4"/>
      <c r="L30" s="3"/>
      <c r="M30" s="4"/>
    </row>
    <row r="31" spans="1:19" x14ac:dyDescent="0.3">
      <c r="A31">
        <v>30</v>
      </c>
      <c r="B31">
        <f t="shared" si="0"/>
        <v>0.46875</v>
      </c>
      <c r="C31" s="1">
        <f t="shared" si="1"/>
        <v>0.46875</v>
      </c>
      <c r="F31" s="3">
        <v>0.46875</v>
      </c>
      <c r="G31" s="4">
        <v>0.46875</v>
      </c>
      <c r="H31" s="3">
        <v>0.96875</v>
      </c>
      <c r="I31" s="4">
        <v>0.96875</v>
      </c>
      <c r="J31" s="3"/>
      <c r="K31" s="4"/>
      <c r="L31" s="3"/>
      <c r="M31" s="4"/>
    </row>
    <row r="32" spans="1:19" x14ac:dyDescent="0.3">
      <c r="A32">
        <v>31</v>
      </c>
      <c r="B32">
        <f t="shared" si="0"/>
        <v>0.484375</v>
      </c>
      <c r="C32" s="1">
        <f t="shared" si="1"/>
        <v>0.484375</v>
      </c>
      <c r="F32" s="3">
        <v>0.484375</v>
      </c>
      <c r="G32" s="4">
        <v>0.484375</v>
      </c>
      <c r="H32" s="3">
        <v>0.984375</v>
      </c>
      <c r="I32" s="4">
        <v>0.984375</v>
      </c>
      <c r="J32" s="3"/>
      <c r="K32" s="4"/>
      <c r="L32" s="3"/>
      <c r="M32" s="4"/>
    </row>
    <row r="33" spans="1:13" x14ac:dyDescent="0.3">
      <c r="A33">
        <v>32</v>
      </c>
      <c r="B33">
        <f t="shared" si="0"/>
        <v>0.5</v>
      </c>
      <c r="C33" s="1">
        <f t="shared" si="1"/>
        <v>0.5</v>
      </c>
      <c r="F33" s="5">
        <v>0.5</v>
      </c>
      <c r="G33" s="6">
        <v>0.5</v>
      </c>
      <c r="H33" s="5">
        <v>1</v>
      </c>
      <c r="I33" s="6">
        <v>1</v>
      </c>
      <c r="J33" s="3"/>
      <c r="K33" s="4"/>
      <c r="L33" s="3"/>
      <c r="M33" s="4"/>
    </row>
    <row r="34" spans="1:13" x14ac:dyDescent="0.3">
      <c r="A34">
        <v>33</v>
      </c>
      <c r="B34">
        <f t="shared" si="0"/>
        <v>0.515625</v>
      </c>
      <c r="C34" s="1">
        <f t="shared" si="1"/>
        <v>0.515625</v>
      </c>
    </row>
    <row r="35" spans="1:13" x14ac:dyDescent="0.3">
      <c r="A35">
        <v>34</v>
      </c>
      <c r="B35">
        <f t="shared" si="0"/>
        <v>0.53125</v>
      </c>
      <c r="C35" s="1">
        <f t="shared" si="1"/>
        <v>0.53125</v>
      </c>
    </row>
    <row r="36" spans="1:13" x14ac:dyDescent="0.3">
      <c r="A36">
        <v>35</v>
      </c>
      <c r="B36">
        <f t="shared" si="0"/>
        <v>0.546875</v>
      </c>
      <c r="C36" s="1">
        <f t="shared" si="1"/>
        <v>0.546875</v>
      </c>
    </row>
    <row r="37" spans="1:13" x14ac:dyDescent="0.3">
      <c r="A37">
        <v>36</v>
      </c>
      <c r="B37">
        <f t="shared" si="0"/>
        <v>0.5625</v>
      </c>
      <c r="C37" s="1">
        <f t="shared" si="1"/>
        <v>0.5625</v>
      </c>
    </row>
    <row r="38" spans="1:13" x14ac:dyDescent="0.3">
      <c r="A38">
        <v>37</v>
      </c>
      <c r="B38">
        <f t="shared" si="0"/>
        <v>0.578125</v>
      </c>
      <c r="C38" s="1">
        <f t="shared" si="1"/>
        <v>0.578125</v>
      </c>
    </row>
    <row r="39" spans="1:13" x14ac:dyDescent="0.3">
      <c r="A39">
        <v>38</v>
      </c>
      <c r="B39">
        <f t="shared" si="0"/>
        <v>0.59375</v>
      </c>
      <c r="C39" s="1">
        <f t="shared" si="1"/>
        <v>0.59375</v>
      </c>
    </row>
    <row r="40" spans="1:13" x14ac:dyDescent="0.3">
      <c r="A40">
        <v>39</v>
      </c>
      <c r="B40">
        <f t="shared" si="0"/>
        <v>0.609375</v>
      </c>
      <c r="C40" s="1">
        <f t="shared" si="1"/>
        <v>0.609375</v>
      </c>
    </row>
    <row r="41" spans="1:13" x14ac:dyDescent="0.3">
      <c r="A41">
        <v>40</v>
      </c>
      <c r="B41">
        <f t="shared" si="0"/>
        <v>0.625</v>
      </c>
      <c r="C41" s="1">
        <f t="shared" si="1"/>
        <v>0.625</v>
      </c>
    </row>
    <row r="42" spans="1:13" x14ac:dyDescent="0.3">
      <c r="A42">
        <v>41</v>
      </c>
      <c r="B42">
        <f t="shared" si="0"/>
        <v>0.640625</v>
      </c>
      <c r="C42" s="1">
        <f t="shared" si="1"/>
        <v>0.640625</v>
      </c>
    </row>
    <row r="43" spans="1:13" x14ac:dyDescent="0.3">
      <c r="A43">
        <v>42</v>
      </c>
      <c r="B43">
        <f t="shared" si="0"/>
        <v>0.65625</v>
      </c>
      <c r="C43" s="1">
        <f t="shared" si="1"/>
        <v>0.65625</v>
      </c>
    </row>
    <row r="44" spans="1:13" x14ac:dyDescent="0.3">
      <c r="A44">
        <v>43</v>
      </c>
      <c r="B44">
        <f t="shared" si="0"/>
        <v>0.671875</v>
      </c>
      <c r="C44" s="1">
        <f t="shared" si="1"/>
        <v>0.671875</v>
      </c>
    </row>
    <row r="45" spans="1:13" x14ac:dyDescent="0.3">
      <c r="A45">
        <v>44</v>
      </c>
      <c r="B45">
        <f t="shared" si="0"/>
        <v>0.6875</v>
      </c>
      <c r="C45" s="1">
        <f t="shared" si="1"/>
        <v>0.6875</v>
      </c>
    </row>
    <row r="46" spans="1:13" x14ac:dyDescent="0.3">
      <c r="A46">
        <v>45</v>
      </c>
      <c r="B46">
        <f t="shared" si="0"/>
        <v>0.703125</v>
      </c>
      <c r="C46" s="1">
        <f t="shared" si="1"/>
        <v>0.703125</v>
      </c>
    </row>
    <row r="47" spans="1:13" x14ac:dyDescent="0.3">
      <c r="A47">
        <v>46</v>
      </c>
      <c r="B47">
        <f t="shared" si="0"/>
        <v>0.71875</v>
      </c>
      <c r="C47" s="1">
        <f t="shared" si="1"/>
        <v>0.71875</v>
      </c>
    </row>
    <row r="48" spans="1:13" x14ac:dyDescent="0.3">
      <c r="A48">
        <v>47</v>
      </c>
      <c r="B48">
        <f t="shared" si="0"/>
        <v>0.734375</v>
      </c>
      <c r="C48" s="1">
        <f t="shared" si="1"/>
        <v>0.734375</v>
      </c>
    </row>
    <row r="49" spans="1:3" x14ac:dyDescent="0.3">
      <c r="A49">
        <v>48</v>
      </c>
      <c r="B49">
        <f t="shared" si="0"/>
        <v>0.75</v>
      </c>
      <c r="C49" s="1">
        <f t="shared" si="1"/>
        <v>0.75</v>
      </c>
    </row>
    <row r="50" spans="1:3" x14ac:dyDescent="0.3">
      <c r="A50">
        <v>49</v>
      </c>
      <c r="B50">
        <f t="shared" si="0"/>
        <v>0.765625</v>
      </c>
      <c r="C50" s="1">
        <f t="shared" si="1"/>
        <v>0.765625</v>
      </c>
    </row>
    <row r="51" spans="1:3" x14ac:dyDescent="0.3">
      <c r="A51">
        <v>50</v>
      </c>
      <c r="B51">
        <f t="shared" si="0"/>
        <v>0.78125</v>
      </c>
      <c r="C51" s="1">
        <f t="shared" si="1"/>
        <v>0.78125</v>
      </c>
    </row>
    <row r="52" spans="1:3" x14ac:dyDescent="0.3">
      <c r="A52">
        <v>51</v>
      </c>
      <c r="B52">
        <f t="shared" si="0"/>
        <v>0.796875</v>
      </c>
      <c r="C52" s="1">
        <f t="shared" si="1"/>
        <v>0.796875</v>
      </c>
    </row>
    <row r="53" spans="1:3" x14ac:dyDescent="0.3">
      <c r="A53">
        <v>52</v>
      </c>
      <c r="B53">
        <f t="shared" si="0"/>
        <v>0.8125</v>
      </c>
      <c r="C53" s="1">
        <f t="shared" si="1"/>
        <v>0.8125</v>
      </c>
    </row>
    <row r="54" spans="1:3" x14ac:dyDescent="0.3">
      <c r="A54">
        <v>53</v>
      </c>
      <c r="B54">
        <f t="shared" si="0"/>
        <v>0.828125</v>
      </c>
      <c r="C54" s="1">
        <f t="shared" si="1"/>
        <v>0.828125</v>
      </c>
    </row>
    <row r="55" spans="1:3" x14ac:dyDescent="0.3">
      <c r="A55">
        <v>54</v>
      </c>
      <c r="B55">
        <f t="shared" si="0"/>
        <v>0.84375</v>
      </c>
      <c r="C55" s="1">
        <f t="shared" si="1"/>
        <v>0.84375</v>
      </c>
    </row>
    <row r="56" spans="1:3" x14ac:dyDescent="0.3">
      <c r="A56">
        <v>55</v>
      </c>
      <c r="B56">
        <f t="shared" si="0"/>
        <v>0.859375</v>
      </c>
      <c r="C56" s="1">
        <f t="shared" si="1"/>
        <v>0.859375</v>
      </c>
    </row>
    <row r="57" spans="1:3" x14ac:dyDescent="0.3">
      <c r="A57">
        <v>56</v>
      </c>
      <c r="B57">
        <f t="shared" si="0"/>
        <v>0.875</v>
      </c>
      <c r="C57" s="1">
        <f t="shared" si="1"/>
        <v>0.875</v>
      </c>
    </row>
    <row r="58" spans="1:3" x14ac:dyDescent="0.3">
      <c r="A58">
        <v>57</v>
      </c>
      <c r="B58">
        <f t="shared" si="0"/>
        <v>0.890625</v>
      </c>
      <c r="C58" s="1">
        <f t="shared" si="1"/>
        <v>0.890625</v>
      </c>
    </row>
    <row r="59" spans="1:3" x14ac:dyDescent="0.3">
      <c r="A59">
        <v>58</v>
      </c>
      <c r="B59">
        <f t="shared" si="0"/>
        <v>0.90625</v>
      </c>
      <c r="C59" s="1">
        <f t="shared" si="1"/>
        <v>0.90625</v>
      </c>
    </row>
    <row r="60" spans="1:3" x14ac:dyDescent="0.3">
      <c r="A60">
        <v>59</v>
      </c>
      <c r="B60">
        <f t="shared" si="0"/>
        <v>0.921875</v>
      </c>
      <c r="C60" s="1">
        <f t="shared" si="1"/>
        <v>0.921875</v>
      </c>
    </row>
    <row r="61" spans="1:3" x14ac:dyDescent="0.3">
      <c r="A61">
        <v>60</v>
      </c>
      <c r="B61">
        <f t="shared" si="0"/>
        <v>0.9375</v>
      </c>
      <c r="C61" s="1">
        <f t="shared" si="1"/>
        <v>0.9375</v>
      </c>
    </row>
    <row r="62" spans="1:3" x14ac:dyDescent="0.3">
      <c r="A62">
        <v>61</v>
      </c>
      <c r="B62">
        <f t="shared" si="0"/>
        <v>0.953125</v>
      </c>
      <c r="C62" s="1">
        <f t="shared" si="1"/>
        <v>0.953125</v>
      </c>
    </row>
    <row r="63" spans="1:3" x14ac:dyDescent="0.3">
      <c r="A63">
        <v>62</v>
      </c>
      <c r="B63">
        <f t="shared" si="0"/>
        <v>0.96875</v>
      </c>
      <c r="C63" s="1">
        <f t="shared" si="1"/>
        <v>0.96875</v>
      </c>
    </row>
    <row r="64" spans="1:3" x14ac:dyDescent="0.3">
      <c r="A64">
        <v>63</v>
      </c>
      <c r="B64">
        <f t="shared" si="0"/>
        <v>0.984375</v>
      </c>
      <c r="C64" s="1">
        <f t="shared" si="1"/>
        <v>0.984375</v>
      </c>
    </row>
    <row r="65" spans="1:3" x14ac:dyDescent="0.3">
      <c r="A65">
        <v>64</v>
      </c>
      <c r="B65">
        <f t="shared" si="0"/>
        <v>1</v>
      </c>
      <c r="C65" s="1">
        <f t="shared" si="1"/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G23"/>
  <sheetViews>
    <sheetView workbookViewId="0">
      <selection sqref="A1:G23"/>
    </sheetView>
  </sheetViews>
  <sheetFormatPr defaultColWidth="11.44140625" defaultRowHeight="14.4" x14ac:dyDescent="0.3"/>
  <cols>
    <col min="1" max="1" width="9.109375" customWidth="1"/>
    <col min="2" max="2" width="12.88671875" style="1" customWidth="1"/>
    <col min="3" max="4" width="10.109375" style="1" customWidth="1"/>
    <col min="5" max="5" width="8.44140625" style="1" customWidth="1"/>
    <col min="6" max="6" width="12.33203125" style="1" customWidth="1"/>
    <col min="7" max="7" width="10.88671875" style="1" customWidth="1"/>
  </cols>
  <sheetData>
    <row r="1" spans="1:7" ht="18" x14ac:dyDescent="0.35">
      <c r="A1" s="70" t="s">
        <v>171</v>
      </c>
      <c r="B1" s="71"/>
      <c r="C1" s="71"/>
      <c r="D1" s="71"/>
      <c r="E1" s="71"/>
      <c r="F1" s="71"/>
      <c r="G1" s="71"/>
    </row>
    <row r="2" spans="1:7" x14ac:dyDescent="0.3">
      <c r="A2" s="73" t="s">
        <v>173</v>
      </c>
      <c r="B2" s="73"/>
      <c r="C2" s="72" t="s">
        <v>172</v>
      </c>
      <c r="D2" s="72"/>
      <c r="E2" s="72"/>
      <c r="F2" s="72"/>
      <c r="G2" s="43" t="s">
        <v>175</v>
      </c>
    </row>
    <row r="3" spans="1:7" s="39" customFormat="1" ht="28.8" x14ac:dyDescent="0.3">
      <c r="A3" s="40" t="s">
        <v>174</v>
      </c>
      <c r="B3" s="44" t="s">
        <v>170</v>
      </c>
      <c r="C3" s="44" t="s">
        <v>169</v>
      </c>
      <c r="D3" s="44" t="s">
        <v>51</v>
      </c>
      <c r="E3" s="44" t="s">
        <v>177</v>
      </c>
      <c r="F3" s="44" t="s">
        <v>28</v>
      </c>
      <c r="G3" s="44" t="s">
        <v>176</v>
      </c>
    </row>
    <row r="4" spans="1:7" x14ac:dyDescent="0.3">
      <c r="A4" s="38" t="s">
        <v>8</v>
      </c>
      <c r="B4" s="41">
        <v>5</v>
      </c>
      <c r="C4" s="41">
        <f t="shared" ref="C4:C23" si="0">ROUND((B4/2+(5/8))*16,0)/16</f>
        <v>3.125</v>
      </c>
      <c r="D4" s="41">
        <f>(Table3[[#This Row],[5/8" Crimp]]*2)+0.25</f>
        <v>6.5</v>
      </c>
      <c r="E4" s="41">
        <f>(((Table3[[#This Row],[5/8" Crimp]]*2)+0.25)/2)+1</f>
        <v>4.25</v>
      </c>
      <c r="F4" s="41">
        <f>ROUND((B4/2+(3/16))*32,0)/32</f>
        <v>2.6875</v>
      </c>
      <c r="G4" s="41">
        <f>ROUND((B4*3.1415 +IF(B4&gt;=16,3,2))*16,0)/16</f>
        <v>17.6875</v>
      </c>
    </row>
    <row r="5" spans="1:7" x14ac:dyDescent="0.3">
      <c r="A5" s="38" t="s">
        <v>9</v>
      </c>
      <c r="B5" s="41">
        <v>5.5</v>
      </c>
      <c r="C5" s="41">
        <f t="shared" si="0"/>
        <v>3.375</v>
      </c>
      <c r="D5" s="41">
        <f>(Table3[[#This Row],[5/8" Crimp]]*2)+0.25</f>
        <v>7</v>
      </c>
      <c r="E5" s="41">
        <f>(((Table3[[#This Row],[5/8" Crimp]]*2)+0.25)/2)+1</f>
        <v>4.5</v>
      </c>
      <c r="F5" s="41">
        <f>ROUND((B5/2+(3/16))*32,0)/32</f>
        <v>2.9375</v>
      </c>
      <c r="G5" s="41">
        <f t="shared" ref="G5:G23" si="1">ROUND((B5*3.1415 +IF(B5&gt;=16,3,2))*16,0)/16</f>
        <v>19.25</v>
      </c>
    </row>
    <row r="6" spans="1:7" x14ac:dyDescent="0.3">
      <c r="A6" s="38" t="s">
        <v>10</v>
      </c>
      <c r="B6" s="41">
        <f>6+5/8</f>
        <v>6.625</v>
      </c>
      <c r="C6" s="41">
        <f t="shared" si="0"/>
        <v>3.9375</v>
      </c>
      <c r="D6" s="41">
        <f>(Table3[[#This Row],[5/8" Crimp]]*2)+0.25</f>
        <v>8.125</v>
      </c>
      <c r="E6" s="41">
        <f>(((Table3[[#This Row],[5/8" Crimp]]*2)+0.25)/2)+1</f>
        <v>5.0625</v>
      </c>
      <c r="F6" s="41">
        <f t="shared" ref="F6:F23" si="2">ROUND((B6/2+(3/16))*32,0)/32</f>
        <v>3.5</v>
      </c>
      <c r="G6" s="41">
        <f t="shared" si="1"/>
        <v>22.8125</v>
      </c>
    </row>
    <row r="7" spans="1:7" x14ac:dyDescent="0.3">
      <c r="A7" s="38" t="s">
        <v>11</v>
      </c>
      <c r="B7" s="41">
        <f>7+5/8</f>
        <v>7.625</v>
      </c>
      <c r="C7" s="41">
        <f t="shared" si="0"/>
        <v>4.4375</v>
      </c>
      <c r="D7" s="41">
        <f>(Table3[[#This Row],[5/8" Crimp]]*2)+0.25</f>
        <v>9.125</v>
      </c>
      <c r="E7" s="41">
        <f>(((Table3[[#This Row],[5/8" Crimp]]*2)+0.25)/2)+1</f>
        <v>5.5625</v>
      </c>
      <c r="F7" s="41">
        <f t="shared" si="2"/>
        <v>4</v>
      </c>
      <c r="G7" s="41">
        <f t="shared" si="1"/>
        <v>25.9375</v>
      </c>
    </row>
    <row r="8" spans="1:7" x14ac:dyDescent="0.3">
      <c r="A8" s="38" t="s">
        <v>12</v>
      </c>
      <c r="B8" s="41">
        <f>8+5/8</f>
        <v>8.625</v>
      </c>
      <c r="C8" s="41">
        <f t="shared" si="0"/>
        <v>4.9375</v>
      </c>
      <c r="D8" s="41">
        <f>(Table3[[#This Row],[5/8" Crimp]]*2)+0.25</f>
        <v>10.125</v>
      </c>
      <c r="E8" s="41">
        <f>(((Table3[[#This Row],[5/8" Crimp]]*2)+0.25)/2)+1</f>
        <v>6.0625</v>
      </c>
      <c r="F8" s="41">
        <f t="shared" si="2"/>
        <v>4.5</v>
      </c>
      <c r="G8" s="41">
        <f t="shared" si="1"/>
        <v>29.125</v>
      </c>
    </row>
    <row r="9" spans="1:7" x14ac:dyDescent="0.3">
      <c r="A9" s="38" t="s">
        <v>13</v>
      </c>
      <c r="B9" s="41">
        <f>9+5/8</f>
        <v>9.625</v>
      </c>
      <c r="C9" s="41">
        <f t="shared" si="0"/>
        <v>5.4375</v>
      </c>
      <c r="D9" s="41">
        <f>(Table3[[#This Row],[5/8" Crimp]]*2)+0.25</f>
        <v>11.125</v>
      </c>
      <c r="E9" s="41">
        <f>(((Table3[[#This Row],[5/8" Crimp]]*2)+0.25)/2)+1</f>
        <v>6.5625</v>
      </c>
      <c r="F9" s="41">
        <f t="shared" si="2"/>
        <v>5</v>
      </c>
      <c r="G9" s="41">
        <f t="shared" si="1"/>
        <v>32.25</v>
      </c>
    </row>
    <row r="10" spans="1:7" x14ac:dyDescent="0.3">
      <c r="A10" s="38" t="s">
        <v>14</v>
      </c>
      <c r="B10" s="41">
        <v>10.75</v>
      </c>
      <c r="C10" s="41">
        <f t="shared" si="0"/>
        <v>6</v>
      </c>
      <c r="D10" s="41">
        <f>(Table3[[#This Row],[5/8" Crimp]]*2)+0.25</f>
        <v>12.25</v>
      </c>
      <c r="E10" s="41">
        <f>(((Table3[[#This Row],[5/8" Crimp]]*2)+0.25)/2)+1</f>
        <v>7.125</v>
      </c>
      <c r="F10" s="41">
        <f t="shared" si="2"/>
        <v>5.5625</v>
      </c>
      <c r="G10" s="41">
        <f t="shared" si="1"/>
        <v>35.75</v>
      </c>
    </row>
    <row r="11" spans="1:7" x14ac:dyDescent="0.3">
      <c r="A11" s="38" t="s">
        <v>15</v>
      </c>
      <c r="B11" s="41">
        <v>11.75</v>
      </c>
      <c r="C11" s="41">
        <f t="shared" si="0"/>
        <v>6.5</v>
      </c>
      <c r="D11" s="41">
        <f>(Table3[[#This Row],[5/8" Crimp]]*2)+0.25</f>
        <v>13.25</v>
      </c>
      <c r="E11" s="41">
        <f>(((Table3[[#This Row],[5/8" Crimp]]*2)+0.25)/2)+1</f>
        <v>7.625</v>
      </c>
      <c r="F11" s="41">
        <f t="shared" si="2"/>
        <v>6.0625</v>
      </c>
      <c r="G11" s="41">
        <f t="shared" si="1"/>
        <v>38.9375</v>
      </c>
    </row>
    <row r="12" spans="1:7" x14ac:dyDescent="0.3">
      <c r="A12" s="38" t="s">
        <v>16</v>
      </c>
      <c r="B12" s="41">
        <v>12.75</v>
      </c>
      <c r="C12" s="41">
        <f t="shared" si="0"/>
        <v>7</v>
      </c>
      <c r="D12" s="41">
        <f>(Table3[[#This Row],[5/8" Crimp]]*2)+0.25</f>
        <v>14.25</v>
      </c>
      <c r="E12" s="41">
        <f>(((Table3[[#This Row],[5/8" Crimp]]*2)+0.25)/2)+1</f>
        <v>8.125</v>
      </c>
      <c r="F12" s="41">
        <f t="shared" si="2"/>
        <v>6.5625</v>
      </c>
      <c r="G12" s="41">
        <f t="shared" si="1"/>
        <v>42.0625</v>
      </c>
    </row>
    <row r="13" spans="1:7" x14ac:dyDescent="0.3">
      <c r="A13" s="38" t="s">
        <v>17</v>
      </c>
      <c r="B13" s="41">
        <v>14</v>
      </c>
      <c r="C13" s="41">
        <f t="shared" si="0"/>
        <v>7.625</v>
      </c>
      <c r="D13" s="41">
        <f>(Table3[[#This Row],[5/8" Crimp]]*2)+0.25</f>
        <v>15.5</v>
      </c>
      <c r="E13" s="41">
        <f>(((Table3[[#This Row],[5/8" Crimp]]*2)+0.25)/2)+1</f>
        <v>8.75</v>
      </c>
      <c r="F13" s="41">
        <f t="shared" si="2"/>
        <v>7.1875</v>
      </c>
      <c r="G13" s="41">
        <f t="shared" si="1"/>
        <v>46</v>
      </c>
    </row>
    <row r="14" spans="1:7" x14ac:dyDescent="0.3">
      <c r="A14" s="38" t="s">
        <v>18</v>
      </c>
      <c r="B14" s="41">
        <v>15</v>
      </c>
      <c r="C14" s="41">
        <f t="shared" si="0"/>
        <v>8.125</v>
      </c>
      <c r="D14" s="41">
        <f>(Table3[[#This Row],[5/8" Crimp]]*2)+0.25</f>
        <v>16.5</v>
      </c>
      <c r="E14" s="41">
        <f>(((Table3[[#This Row],[5/8" Crimp]]*2)+0.25)/2)+1</f>
        <v>9.25</v>
      </c>
      <c r="F14" s="41">
        <f t="shared" si="2"/>
        <v>7.6875</v>
      </c>
      <c r="G14" s="41">
        <f t="shared" si="1"/>
        <v>49.125</v>
      </c>
    </row>
    <row r="15" spans="1:7" x14ac:dyDescent="0.3">
      <c r="A15" s="38" t="s">
        <v>19</v>
      </c>
      <c r="B15" s="41">
        <v>16</v>
      </c>
      <c r="C15" s="41">
        <f t="shared" si="0"/>
        <v>8.625</v>
      </c>
      <c r="D15" s="41">
        <f>(Table3[[#This Row],[5/8" Crimp]]*2)+0.25</f>
        <v>17.5</v>
      </c>
      <c r="E15" s="41">
        <f>(((Table3[[#This Row],[5/8" Crimp]]*2)+0.25)/2)+1</f>
        <v>9.75</v>
      </c>
      <c r="F15" s="41">
        <f t="shared" si="2"/>
        <v>8.1875</v>
      </c>
      <c r="G15" s="41">
        <f t="shared" si="1"/>
        <v>53.25</v>
      </c>
    </row>
    <row r="16" spans="1:7" x14ac:dyDescent="0.3">
      <c r="A16" s="38" t="s">
        <v>20</v>
      </c>
      <c r="B16" s="41">
        <v>17</v>
      </c>
      <c r="C16" s="41">
        <f t="shared" si="0"/>
        <v>9.125</v>
      </c>
      <c r="D16" s="41">
        <f>(Table3[[#This Row],[5/8" Crimp]]*2)+0.25</f>
        <v>18.5</v>
      </c>
      <c r="E16" s="41">
        <f>(((Table3[[#This Row],[5/8" Crimp]]*2)+0.25)/2)+1</f>
        <v>10.25</v>
      </c>
      <c r="F16" s="41">
        <f t="shared" si="2"/>
        <v>8.6875</v>
      </c>
      <c r="G16" s="41">
        <f t="shared" si="1"/>
        <v>56.375</v>
      </c>
    </row>
    <row r="17" spans="1:7" x14ac:dyDescent="0.3">
      <c r="A17" s="38" t="s">
        <v>21</v>
      </c>
      <c r="B17" s="41">
        <v>18</v>
      </c>
      <c r="C17" s="41">
        <f t="shared" si="0"/>
        <v>9.625</v>
      </c>
      <c r="D17" s="41">
        <f>(Table3[[#This Row],[5/8" Crimp]]*2)+0.25</f>
        <v>19.5</v>
      </c>
      <c r="E17" s="41">
        <f>(((Table3[[#This Row],[5/8" Crimp]]*2)+0.25)/2)+1</f>
        <v>10.75</v>
      </c>
      <c r="F17" s="41">
        <f t="shared" si="2"/>
        <v>9.1875</v>
      </c>
      <c r="G17" s="41">
        <f t="shared" si="1"/>
        <v>59.5625</v>
      </c>
    </row>
    <row r="18" spans="1:7" x14ac:dyDescent="0.3">
      <c r="A18" s="38" t="s">
        <v>22</v>
      </c>
      <c r="B18" s="41">
        <v>19</v>
      </c>
      <c r="C18" s="41">
        <f t="shared" si="0"/>
        <v>10.125</v>
      </c>
      <c r="D18" s="41">
        <f>(Table3[[#This Row],[5/8" Crimp]]*2)+0.25</f>
        <v>20.5</v>
      </c>
      <c r="E18" s="41">
        <f>(((Table3[[#This Row],[5/8" Crimp]]*2)+0.25)/2)+1</f>
        <v>11.25</v>
      </c>
      <c r="F18" s="41">
        <f t="shared" si="2"/>
        <v>9.6875</v>
      </c>
      <c r="G18" s="41">
        <f t="shared" si="1"/>
        <v>62.6875</v>
      </c>
    </row>
    <row r="19" spans="1:7" x14ac:dyDescent="0.3">
      <c r="A19" s="38" t="s">
        <v>23</v>
      </c>
      <c r="B19" s="41">
        <v>20</v>
      </c>
      <c r="C19" s="41">
        <f t="shared" si="0"/>
        <v>10.625</v>
      </c>
      <c r="D19" s="41">
        <f>(Table3[[#This Row],[5/8" Crimp]]*2)+0.25</f>
        <v>21.5</v>
      </c>
      <c r="E19" s="41">
        <f>(((Table3[[#This Row],[5/8" Crimp]]*2)+0.25)/2)+1</f>
        <v>11.75</v>
      </c>
      <c r="F19" s="41">
        <f t="shared" si="2"/>
        <v>10.1875</v>
      </c>
      <c r="G19" s="41">
        <f t="shared" si="1"/>
        <v>65.8125</v>
      </c>
    </row>
    <row r="20" spans="1:7" x14ac:dyDescent="0.3">
      <c r="A20" s="38" t="s">
        <v>24</v>
      </c>
      <c r="B20" s="41">
        <v>21</v>
      </c>
      <c r="C20" s="41">
        <f t="shared" si="0"/>
        <v>11.125</v>
      </c>
      <c r="D20" s="41">
        <f>(Table3[[#This Row],[5/8" Crimp]]*2)+0.25</f>
        <v>22.5</v>
      </c>
      <c r="E20" s="41">
        <f>(((Table3[[#This Row],[5/8" Crimp]]*2)+0.25)/2)+1</f>
        <v>12.25</v>
      </c>
      <c r="F20" s="41">
        <f t="shared" si="2"/>
        <v>10.6875</v>
      </c>
      <c r="G20" s="41">
        <f t="shared" si="1"/>
        <v>69</v>
      </c>
    </row>
    <row r="21" spans="1:7" x14ac:dyDescent="0.3">
      <c r="A21" s="38" t="s">
        <v>25</v>
      </c>
      <c r="B21" s="41">
        <v>22</v>
      </c>
      <c r="C21" s="41">
        <f t="shared" si="0"/>
        <v>11.625</v>
      </c>
      <c r="D21" s="41">
        <f>(Table3[[#This Row],[5/8" Crimp]]*2)+0.25</f>
        <v>23.5</v>
      </c>
      <c r="E21" s="41">
        <f>(((Table3[[#This Row],[5/8" Crimp]]*2)+0.25)/2)+1</f>
        <v>12.75</v>
      </c>
      <c r="F21" s="41">
        <f t="shared" si="2"/>
        <v>11.1875</v>
      </c>
      <c r="G21" s="41">
        <f t="shared" si="1"/>
        <v>72.125</v>
      </c>
    </row>
    <row r="22" spans="1:7" x14ac:dyDescent="0.3">
      <c r="A22" s="38" t="s">
        <v>26</v>
      </c>
      <c r="B22" s="41">
        <v>23</v>
      </c>
      <c r="C22" s="41">
        <f t="shared" si="0"/>
        <v>12.125</v>
      </c>
      <c r="D22" s="41">
        <f>(Table3[[#This Row],[5/8" Crimp]]*2)+0.25</f>
        <v>24.5</v>
      </c>
      <c r="E22" s="41">
        <f>(((Table3[[#This Row],[5/8" Crimp]]*2)+0.25)/2)+1</f>
        <v>13.25</v>
      </c>
      <c r="F22" s="41">
        <f t="shared" si="2"/>
        <v>11.6875</v>
      </c>
      <c r="G22" s="41">
        <f t="shared" si="1"/>
        <v>75.25</v>
      </c>
    </row>
    <row r="23" spans="1:7" x14ac:dyDescent="0.3">
      <c r="A23" s="38" t="s">
        <v>27</v>
      </c>
      <c r="B23" s="41">
        <v>24</v>
      </c>
      <c r="C23" s="41">
        <f t="shared" si="0"/>
        <v>12.625</v>
      </c>
      <c r="D23" s="41">
        <f>(Table3[[#This Row],[5/8" Crimp]]*2)+0.25</f>
        <v>25.5</v>
      </c>
      <c r="E23" s="41">
        <f>(((Table3[[#This Row],[5/8" Crimp]]*2)+0.25)/2)+1</f>
        <v>13.75</v>
      </c>
      <c r="F23" s="41">
        <f t="shared" si="2"/>
        <v>12.1875</v>
      </c>
      <c r="G23" s="41">
        <f t="shared" si="1"/>
        <v>78.375</v>
      </c>
    </row>
  </sheetData>
  <mergeCells count="3">
    <mergeCell ref="A1:G1"/>
    <mergeCell ref="C2:F2"/>
    <mergeCell ref="A2:B2"/>
  </mergeCells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4"/>
  <sheetViews>
    <sheetView workbookViewId="0">
      <selection sqref="A1:G14"/>
    </sheetView>
  </sheetViews>
  <sheetFormatPr defaultRowHeight="14.4" x14ac:dyDescent="0.3"/>
  <cols>
    <col min="1" max="1" width="11.109375" customWidth="1"/>
    <col min="2" max="6" width="7.5546875" customWidth="1"/>
    <col min="7" max="7" width="8.5546875" customWidth="1"/>
  </cols>
  <sheetData>
    <row r="1" spans="1:7" x14ac:dyDescent="0.3">
      <c r="A1" t="s">
        <v>35</v>
      </c>
      <c r="B1" t="s">
        <v>34</v>
      </c>
      <c r="C1" t="s">
        <v>33</v>
      </c>
      <c r="D1" t="s">
        <v>32</v>
      </c>
      <c r="E1" t="s">
        <v>31</v>
      </c>
      <c r="F1" t="s">
        <v>30</v>
      </c>
      <c r="G1" t="s">
        <v>29</v>
      </c>
    </row>
    <row r="2" spans="1:7" x14ac:dyDescent="0.3">
      <c r="A2">
        <v>2</v>
      </c>
      <c r="B2">
        <v>6</v>
      </c>
      <c r="C2">
        <v>6.5</v>
      </c>
      <c r="D2">
        <v>6.5</v>
      </c>
      <c r="E2">
        <v>6.5</v>
      </c>
      <c r="F2">
        <v>8.5</v>
      </c>
      <c r="G2">
        <v>8.5</v>
      </c>
    </row>
    <row r="3" spans="1:7" x14ac:dyDescent="0.3">
      <c r="A3">
        <v>3</v>
      </c>
      <c r="B3">
        <v>7.5</v>
      </c>
      <c r="C3">
        <v>8.25</v>
      </c>
      <c r="D3">
        <v>8.25</v>
      </c>
      <c r="E3">
        <v>8.25</v>
      </c>
      <c r="F3">
        <v>9.5</v>
      </c>
      <c r="G3">
        <v>10.5</v>
      </c>
    </row>
    <row r="4" spans="1:7" x14ac:dyDescent="0.3">
      <c r="A4">
        <v>4</v>
      </c>
      <c r="B4">
        <v>9</v>
      </c>
      <c r="C4">
        <v>10</v>
      </c>
      <c r="D4">
        <v>10</v>
      </c>
      <c r="E4">
        <v>10.75</v>
      </c>
      <c r="F4">
        <v>11.5</v>
      </c>
      <c r="G4">
        <v>12.25</v>
      </c>
    </row>
    <row r="5" spans="1:7" x14ac:dyDescent="0.3">
      <c r="A5">
        <v>5</v>
      </c>
      <c r="B5">
        <v>10</v>
      </c>
      <c r="C5">
        <v>11</v>
      </c>
      <c r="D5">
        <v>11</v>
      </c>
      <c r="E5">
        <v>13</v>
      </c>
      <c r="F5">
        <v>13.75</v>
      </c>
      <c r="G5">
        <v>14.75</v>
      </c>
    </row>
    <row r="6" spans="1:7" x14ac:dyDescent="0.3">
      <c r="A6">
        <v>6</v>
      </c>
      <c r="B6">
        <v>11</v>
      </c>
      <c r="C6">
        <v>12.5</v>
      </c>
      <c r="D6">
        <v>12.5</v>
      </c>
      <c r="E6">
        <v>14</v>
      </c>
      <c r="F6">
        <v>15</v>
      </c>
      <c r="G6">
        <v>15.5</v>
      </c>
    </row>
    <row r="7" spans="1:7" x14ac:dyDescent="0.3">
      <c r="A7">
        <v>8</v>
      </c>
      <c r="B7">
        <v>13.5</v>
      </c>
      <c r="C7">
        <v>15</v>
      </c>
      <c r="D7">
        <v>15.5</v>
      </c>
      <c r="E7">
        <v>16.5</v>
      </c>
      <c r="F7">
        <v>18.5</v>
      </c>
      <c r="G7">
        <v>19</v>
      </c>
    </row>
    <row r="8" spans="1:7" x14ac:dyDescent="0.3">
      <c r="A8">
        <v>10</v>
      </c>
      <c r="B8">
        <v>16</v>
      </c>
      <c r="C8">
        <v>17.5</v>
      </c>
      <c r="D8">
        <v>17.5</v>
      </c>
      <c r="E8">
        <v>20</v>
      </c>
      <c r="F8">
        <v>21.5</v>
      </c>
      <c r="G8">
        <v>23</v>
      </c>
    </row>
    <row r="9" spans="1:7" x14ac:dyDescent="0.3">
      <c r="A9">
        <v>12</v>
      </c>
      <c r="B9">
        <v>19</v>
      </c>
      <c r="C9">
        <v>20.5</v>
      </c>
      <c r="D9">
        <v>20.5</v>
      </c>
      <c r="E9">
        <v>22</v>
      </c>
      <c r="F9">
        <v>24</v>
      </c>
      <c r="G9">
        <v>26.5</v>
      </c>
    </row>
    <row r="10" spans="1:7" x14ac:dyDescent="0.3">
      <c r="A10">
        <v>14</v>
      </c>
      <c r="B10">
        <v>21</v>
      </c>
      <c r="C10">
        <v>23</v>
      </c>
      <c r="D10">
        <v>23</v>
      </c>
      <c r="E10">
        <v>23.75</v>
      </c>
      <c r="F10">
        <v>25.25</v>
      </c>
      <c r="G10">
        <v>29.5</v>
      </c>
    </row>
    <row r="11" spans="1:7" x14ac:dyDescent="0.3">
      <c r="A11">
        <v>16</v>
      </c>
      <c r="B11">
        <v>23.5</v>
      </c>
      <c r="C11">
        <v>25.5</v>
      </c>
      <c r="D11">
        <v>25.5</v>
      </c>
      <c r="E11">
        <v>27</v>
      </c>
      <c r="F11">
        <v>27.75</v>
      </c>
      <c r="G11">
        <v>32.5</v>
      </c>
    </row>
    <row r="12" spans="1:7" x14ac:dyDescent="0.3">
      <c r="A12">
        <v>18</v>
      </c>
      <c r="B12">
        <v>25</v>
      </c>
      <c r="C12">
        <v>28</v>
      </c>
      <c r="D12">
        <v>28</v>
      </c>
      <c r="E12">
        <v>29.25</v>
      </c>
      <c r="F12">
        <v>31</v>
      </c>
      <c r="G12">
        <v>36</v>
      </c>
    </row>
    <row r="13" spans="1:7" x14ac:dyDescent="0.3">
      <c r="A13">
        <v>20</v>
      </c>
      <c r="B13">
        <v>27.5</v>
      </c>
      <c r="C13">
        <v>30.5</v>
      </c>
      <c r="D13">
        <v>30.5</v>
      </c>
      <c r="E13">
        <v>32</v>
      </c>
      <c r="F13">
        <v>33.75</v>
      </c>
      <c r="G13">
        <v>38.75</v>
      </c>
    </row>
    <row r="14" spans="1:7" x14ac:dyDescent="0.3">
      <c r="A14">
        <v>24</v>
      </c>
      <c r="B14">
        <v>32</v>
      </c>
      <c r="C14">
        <v>36</v>
      </c>
      <c r="D14">
        <v>36</v>
      </c>
      <c r="E14">
        <v>37</v>
      </c>
      <c r="F14">
        <v>41</v>
      </c>
      <c r="G14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B37"/>
  <sheetViews>
    <sheetView workbookViewId="0">
      <selection activeCell="D29" sqref="D29"/>
    </sheetView>
  </sheetViews>
  <sheetFormatPr defaultRowHeight="14.4" x14ac:dyDescent="0.3"/>
  <cols>
    <col min="1" max="1" width="5.6640625" customWidth="1"/>
    <col min="2" max="2" width="6" style="7" bestFit="1" customWidth="1"/>
    <col min="3" max="4" width="5.33203125" style="7" bestFit="1" customWidth="1"/>
    <col min="5" max="5" width="2.109375" style="7" bestFit="1" customWidth="1"/>
    <col min="6" max="6" width="2.44140625" style="7" bestFit="1" customWidth="1"/>
    <col min="7" max="7" width="2" style="7" bestFit="1" customWidth="1"/>
    <col min="8" max="8" width="2.109375" style="7" bestFit="1" customWidth="1"/>
    <col min="9" max="9" width="2.44140625" style="7" bestFit="1" customWidth="1"/>
    <col min="10" max="10" width="2" style="7" bestFit="1" customWidth="1"/>
    <col min="11" max="11" width="2.109375" style="7" bestFit="1" customWidth="1"/>
    <col min="12" max="12" width="2.44140625" style="7" bestFit="1" customWidth="1"/>
    <col min="13" max="13" width="2" style="7" bestFit="1" customWidth="1"/>
    <col min="14" max="14" width="2.109375" style="7" bestFit="1" customWidth="1"/>
    <col min="15" max="15" width="2.44140625" style="7" bestFit="1" customWidth="1"/>
    <col min="16" max="16" width="2" style="7" bestFit="1" customWidth="1"/>
    <col min="17" max="17" width="2.109375" style="7" bestFit="1" customWidth="1"/>
    <col min="18" max="18" width="2.44140625" style="7" bestFit="1" customWidth="1"/>
    <col min="19" max="19" width="2" style="7" bestFit="1" customWidth="1"/>
    <col min="20" max="20" width="2.109375" style="7" bestFit="1" customWidth="1"/>
    <col min="21" max="21" width="2.44140625" style="7" bestFit="1" customWidth="1"/>
    <col min="22" max="22" width="2" style="7" bestFit="1" customWidth="1"/>
    <col min="23" max="23" width="2.109375" style="7" bestFit="1" customWidth="1"/>
    <col min="24" max="24" width="2.44140625" style="7" bestFit="1" customWidth="1"/>
    <col min="25" max="25" width="2" style="7" bestFit="1" customWidth="1"/>
    <col min="26" max="26" width="2.109375" style="7" bestFit="1" customWidth="1"/>
    <col min="27" max="27" width="2.44140625" style="7" bestFit="1" customWidth="1"/>
    <col min="28" max="28" width="2" style="7" bestFit="1" customWidth="1"/>
  </cols>
  <sheetData>
    <row r="1" spans="1:28" x14ac:dyDescent="0.3">
      <c r="A1" s="75" t="s">
        <v>35</v>
      </c>
      <c r="B1" s="74" t="s">
        <v>47</v>
      </c>
      <c r="C1" s="74"/>
      <c r="D1" s="74"/>
      <c r="E1" s="74" t="s">
        <v>46</v>
      </c>
      <c r="F1" s="74"/>
      <c r="G1" s="74"/>
      <c r="H1" s="74" t="s">
        <v>45</v>
      </c>
      <c r="I1" s="74"/>
      <c r="J1" s="74"/>
      <c r="K1" s="74" t="s">
        <v>44</v>
      </c>
      <c r="L1" s="74"/>
      <c r="M1" s="74"/>
      <c r="N1" s="74" t="s">
        <v>43</v>
      </c>
      <c r="O1" s="74"/>
      <c r="P1" s="74"/>
      <c r="Q1" s="74" t="s">
        <v>42</v>
      </c>
      <c r="R1" s="74"/>
      <c r="S1" s="74"/>
      <c r="T1" s="74" t="s">
        <v>41</v>
      </c>
      <c r="U1" s="74"/>
      <c r="V1" s="74"/>
      <c r="W1" s="74" t="s">
        <v>40</v>
      </c>
      <c r="X1" s="74"/>
      <c r="Y1" s="74"/>
      <c r="Z1" s="74" t="s">
        <v>39</v>
      </c>
      <c r="AA1" s="74"/>
      <c r="AB1" s="74"/>
    </row>
    <row r="2" spans="1:28" x14ac:dyDescent="0.3">
      <c r="A2" s="75"/>
      <c r="B2" s="7" t="s">
        <v>38</v>
      </c>
      <c r="C2" s="7" t="s">
        <v>37</v>
      </c>
      <c r="D2" s="7" t="s">
        <v>36</v>
      </c>
      <c r="E2" s="7" t="s">
        <v>38</v>
      </c>
      <c r="F2" s="7" t="s">
        <v>37</v>
      </c>
      <c r="G2" s="7" t="s">
        <v>36</v>
      </c>
      <c r="H2" s="7" t="s">
        <v>38</v>
      </c>
      <c r="I2" s="7" t="s">
        <v>37</v>
      </c>
      <c r="J2" s="7" t="s">
        <v>36</v>
      </c>
      <c r="K2" s="7" t="s">
        <v>38</v>
      </c>
      <c r="L2" s="7" t="s">
        <v>37</v>
      </c>
      <c r="M2" s="7" t="s">
        <v>36</v>
      </c>
      <c r="N2" s="7" t="s">
        <v>38</v>
      </c>
      <c r="O2" s="7" t="s">
        <v>37</v>
      </c>
      <c r="P2" s="7" t="s">
        <v>36</v>
      </c>
      <c r="Q2" s="7" t="s">
        <v>38</v>
      </c>
      <c r="R2" s="7" t="s">
        <v>37</v>
      </c>
      <c r="S2" s="7" t="s">
        <v>36</v>
      </c>
      <c r="T2" s="7" t="s">
        <v>38</v>
      </c>
      <c r="U2" s="7" t="s">
        <v>37</v>
      </c>
      <c r="V2" s="7" t="s">
        <v>36</v>
      </c>
      <c r="W2" s="7" t="s">
        <v>38</v>
      </c>
      <c r="X2" s="7" t="s">
        <v>37</v>
      </c>
      <c r="Y2" s="7" t="s">
        <v>36</v>
      </c>
      <c r="Z2" s="7" t="s">
        <v>38</v>
      </c>
      <c r="AA2" s="7" t="s">
        <v>37</v>
      </c>
      <c r="AB2" s="7" t="s">
        <v>36</v>
      </c>
    </row>
    <row r="3" spans="1:28" x14ac:dyDescent="0.3">
      <c r="A3">
        <v>3</v>
      </c>
      <c r="B3" s="7">
        <f>2+7/8</f>
        <v>2.875</v>
      </c>
      <c r="C3" s="7">
        <v>4</v>
      </c>
      <c r="D3" s="7">
        <v>0.75</v>
      </c>
    </row>
    <row r="4" spans="1:28" x14ac:dyDescent="0.3">
      <c r="A4">
        <v>3.5</v>
      </c>
      <c r="B4" s="7">
        <f>3+1/8</f>
        <v>3.125</v>
      </c>
      <c r="C4" s="7">
        <v>4</v>
      </c>
      <c r="D4" s="7">
        <v>1</v>
      </c>
    </row>
    <row r="5" spans="1:28" x14ac:dyDescent="0.3">
      <c r="A5">
        <v>4</v>
      </c>
      <c r="B5" s="7">
        <f>2+3/8</f>
        <v>2.375</v>
      </c>
      <c r="C5" s="7">
        <v>6</v>
      </c>
      <c r="D5" s="7">
        <v>0.75</v>
      </c>
    </row>
    <row r="6" spans="1:28" x14ac:dyDescent="0.3">
      <c r="A6">
        <v>4.5</v>
      </c>
      <c r="B6" s="7">
        <f>2+5/8</f>
        <v>2.625</v>
      </c>
      <c r="C6" s="7">
        <v>6</v>
      </c>
      <c r="D6" s="7">
        <v>0.875</v>
      </c>
    </row>
    <row r="7" spans="1:28" x14ac:dyDescent="0.3">
      <c r="A7">
        <v>5</v>
      </c>
      <c r="B7" s="7">
        <v>3</v>
      </c>
      <c r="C7" s="7">
        <v>6</v>
      </c>
      <c r="D7" s="7">
        <v>1</v>
      </c>
    </row>
    <row r="8" spans="1:28" x14ac:dyDescent="0.3">
      <c r="A8">
        <v>6</v>
      </c>
      <c r="B8" s="7">
        <v>3.5</v>
      </c>
      <c r="C8" s="7">
        <v>6</v>
      </c>
      <c r="D8" s="7">
        <v>1.25</v>
      </c>
    </row>
    <row r="9" spans="1:28" x14ac:dyDescent="0.3">
      <c r="A9">
        <v>7</v>
      </c>
    </row>
    <row r="10" spans="1:28" x14ac:dyDescent="0.3">
      <c r="A10">
        <v>8</v>
      </c>
    </row>
    <row r="11" spans="1:28" x14ac:dyDescent="0.3">
      <c r="A11">
        <v>9</v>
      </c>
    </row>
    <row r="12" spans="1:28" x14ac:dyDescent="0.3">
      <c r="A12">
        <v>10</v>
      </c>
    </row>
    <row r="13" spans="1:28" x14ac:dyDescent="0.3">
      <c r="A13">
        <v>11</v>
      </c>
    </row>
    <row r="14" spans="1:28" x14ac:dyDescent="0.3">
      <c r="A14">
        <v>12</v>
      </c>
    </row>
    <row r="15" spans="1:28" x14ac:dyDescent="0.3">
      <c r="A15">
        <v>14</v>
      </c>
    </row>
    <row r="16" spans="1:28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</sheetData>
  <mergeCells count="10">
    <mergeCell ref="T1:V1"/>
    <mergeCell ref="W1:Y1"/>
    <mergeCell ref="Z1:AB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9"/>
  <sheetViews>
    <sheetView workbookViewId="0">
      <selection sqref="A1:D19"/>
    </sheetView>
  </sheetViews>
  <sheetFormatPr defaultRowHeight="14.4" x14ac:dyDescent="0.3"/>
  <cols>
    <col min="1" max="1" width="10.88671875" customWidth="1"/>
    <col min="2" max="2" width="8.33203125" style="33" customWidth="1"/>
    <col min="3" max="3" width="11" customWidth="1"/>
  </cols>
  <sheetData>
    <row r="1" spans="1:4" ht="28.8" x14ac:dyDescent="0.3">
      <c r="A1" s="34" t="s">
        <v>155</v>
      </c>
      <c r="B1" s="35" t="s">
        <v>154</v>
      </c>
      <c r="C1" s="34" t="s">
        <v>156</v>
      </c>
      <c r="D1" s="35" t="s">
        <v>157</v>
      </c>
    </row>
    <row r="2" spans="1:4" x14ac:dyDescent="0.3">
      <c r="A2">
        <v>2</v>
      </c>
      <c r="B2" s="33">
        <v>2</v>
      </c>
      <c r="C2">
        <v>19</v>
      </c>
      <c r="D2" s="33">
        <v>0.33</v>
      </c>
    </row>
    <row r="3" spans="1:4" x14ac:dyDescent="0.3">
      <c r="A3">
        <v>3</v>
      </c>
      <c r="B3" s="33">
        <v>1.732</v>
      </c>
      <c r="C3">
        <v>20</v>
      </c>
      <c r="D3" s="33">
        <v>0.29599999999999999</v>
      </c>
    </row>
    <row r="4" spans="1:4" x14ac:dyDescent="0.3">
      <c r="A4">
        <v>4</v>
      </c>
      <c r="B4" s="33">
        <v>1.4139999999999999</v>
      </c>
      <c r="C4">
        <v>21</v>
      </c>
      <c r="D4" s="33">
        <v>0.28399999999999997</v>
      </c>
    </row>
    <row r="5" spans="1:4" x14ac:dyDescent="0.3">
      <c r="A5">
        <v>5</v>
      </c>
      <c r="B5" s="33">
        <v>1.1759999999999999</v>
      </c>
      <c r="C5">
        <v>22</v>
      </c>
      <c r="D5" s="33">
        <v>0.27300000000000002</v>
      </c>
    </row>
    <row r="6" spans="1:4" x14ac:dyDescent="0.3">
      <c r="A6">
        <v>6</v>
      </c>
      <c r="B6" s="33">
        <v>1</v>
      </c>
      <c r="C6">
        <v>23</v>
      </c>
      <c r="D6" s="33">
        <v>0.26100000000000001</v>
      </c>
    </row>
    <row r="7" spans="1:4" x14ac:dyDescent="0.3">
      <c r="A7">
        <v>7</v>
      </c>
      <c r="B7" s="33">
        <v>0.86599999999999999</v>
      </c>
      <c r="C7">
        <v>24</v>
      </c>
      <c r="D7" s="33">
        <v>0.25</v>
      </c>
    </row>
    <row r="8" spans="1:4" x14ac:dyDescent="0.3">
      <c r="A8">
        <v>8</v>
      </c>
      <c r="B8" s="33">
        <v>0.76500000000000001</v>
      </c>
      <c r="C8">
        <v>25</v>
      </c>
      <c r="D8" s="33">
        <v>0.246</v>
      </c>
    </row>
    <row r="9" spans="1:4" x14ac:dyDescent="0.3">
      <c r="A9">
        <v>9</v>
      </c>
      <c r="B9" s="33">
        <v>0.68400000000000005</v>
      </c>
      <c r="C9">
        <v>26</v>
      </c>
      <c r="D9" s="33">
        <v>0.23699999999999999</v>
      </c>
    </row>
    <row r="10" spans="1:4" x14ac:dyDescent="0.3">
      <c r="A10">
        <v>10</v>
      </c>
      <c r="B10" s="33">
        <v>0.61799999999999999</v>
      </c>
      <c r="C10">
        <v>27</v>
      </c>
      <c r="D10" s="33">
        <v>0.23400000000000001</v>
      </c>
    </row>
    <row r="11" spans="1:4" x14ac:dyDescent="0.3">
      <c r="A11">
        <v>11</v>
      </c>
      <c r="B11" s="33">
        <v>0.56200000000000006</v>
      </c>
      <c r="C11">
        <v>28</v>
      </c>
      <c r="D11" s="33">
        <v>0.218</v>
      </c>
    </row>
    <row r="12" spans="1:4" x14ac:dyDescent="0.3">
      <c r="A12">
        <v>12</v>
      </c>
      <c r="B12" s="33">
        <v>0.51800000000000002</v>
      </c>
      <c r="C12">
        <v>29</v>
      </c>
      <c r="D12" s="33">
        <v>0.217</v>
      </c>
    </row>
    <row r="13" spans="1:4" x14ac:dyDescent="0.3">
      <c r="A13">
        <v>13</v>
      </c>
      <c r="B13" s="33">
        <v>0.47799999999999998</v>
      </c>
      <c r="C13">
        <v>30</v>
      </c>
      <c r="D13" s="33">
        <v>0.214</v>
      </c>
    </row>
    <row r="14" spans="1:4" x14ac:dyDescent="0.3">
      <c r="A14">
        <v>14</v>
      </c>
      <c r="B14" s="33">
        <v>0.44400000000000001</v>
      </c>
      <c r="C14">
        <v>31</v>
      </c>
      <c r="D14" s="33">
        <v>0.20599999999999999</v>
      </c>
    </row>
    <row r="15" spans="1:4" x14ac:dyDescent="0.3">
      <c r="A15">
        <v>15</v>
      </c>
      <c r="B15" s="33">
        <v>0.41599999999999998</v>
      </c>
      <c r="C15">
        <v>32</v>
      </c>
      <c r="D15" s="33">
        <v>0.19900000000000001</v>
      </c>
    </row>
    <row r="16" spans="1:4" x14ac:dyDescent="0.3">
      <c r="A16">
        <v>16</v>
      </c>
      <c r="B16" s="33">
        <v>0.39</v>
      </c>
      <c r="C16">
        <v>33</v>
      </c>
      <c r="D16" s="33">
        <v>0.19400000000000001</v>
      </c>
    </row>
    <row r="17" spans="1:4" x14ac:dyDescent="0.3">
      <c r="A17">
        <v>17</v>
      </c>
      <c r="B17" s="33">
        <v>0.37</v>
      </c>
      <c r="C17">
        <v>34</v>
      </c>
      <c r="D17" s="33">
        <v>0.186</v>
      </c>
    </row>
    <row r="18" spans="1:4" x14ac:dyDescent="0.3">
      <c r="A18">
        <v>18</v>
      </c>
      <c r="B18" s="33">
        <v>0.34699999999999998</v>
      </c>
      <c r="C18">
        <v>35</v>
      </c>
      <c r="D18" s="33">
        <v>0.18099999999999999</v>
      </c>
    </row>
    <row r="19" spans="1:4" x14ac:dyDescent="0.3">
      <c r="C19">
        <v>36</v>
      </c>
      <c r="D19" s="33">
        <v>0.17899999999999999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99"/>
  <sheetViews>
    <sheetView workbookViewId="0">
      <selection sqref="A1:XFD75"/>
    </sheetView>
  </sheetViews>
  <sheetFormatPr defaultColWidth="8.44140625" defaultRowHeight="14.4" x14ac:dyDescent="0.3"/>
  <sheetData>
    <row r="1" spans="1:6" x14ac:dyDescent="0.3">
      <c r="A1" s="45" t="s">
        <v>35</v>
      </c>
      <c r="B1" s="46" t="s">
        <v>52</v>
      </c>
      <c r="C1" s="46" t="s">
        <v>51</v>
      </c>
      <c r="D1" s="46" t="s">
        <v>50</v>
      </c>
      <c r="E1" s="46" t="s">
        <v>49</v>
      </c>
      <c r="F1" s="47" t="s">
        <v>48</v>
      </c>
    </row>
    <row r="2" spans="1:6" x14ac:dyDescent="0.3">
      <c r="A2" s="48">
        <v>0.5</v>
      </c>
      <c r="B2" s="49">
        <v>1</v>
      </c>
      <c r="C2" s="49">
        <v>3</v>
      </c>
      <c r="D2" s="49">
        <f>10+7/8</f>
        <v>10.875</v>
      </c>
      <c r="E2" s="49">
        <v>19</v>
      </c>
      <c r="F2" s="50">
        <v>1</v>
      </c>
    </row>
    <row r="3" spans="1:6" x14ac:dyDescent="0.3">
      <c r="A3" s="48">
        <v>0.75</v>
      </c>
      <c r="B3" s="49">
        <v>1</v>
      </c>
      <c r="C3" s="49">
        <v>3</v>
      </c>
      <c r="D3" s="49">
        <f>10+7/8</f>
        <v>10.875</v>
      </c>
      <c r="E3" s="49">
        <v>19</v>
      </c>
      <c r="F3" s="50">
        <v>1</v>
      </c>
    </row>
    <row r="4" spans="1:6" x14ac:dyDescent="0.3">
      <c r="A4" s="48">
        <v>1</v>
      </c>
      <c r="B4" s="49">
        <v>1</v>
      </c>
      <c r="C4" s="49">
        <v>3.5</v>
      </c>
      <c r="D4" s="49">
        <f>12+3/8</f>
        <v>12.375</v>
      </c>
      <c r="E4" s="49">
        <v>20</v>
      </c>
      <c r="F4" s="50">
        <v>1</v>
      </c>
    </row>
    <row r="5" spans="1:6" x14ac:dyDescent="0.3">
      <c r="A5" s="48">
        <v>1.25</v>
      </c>
      <c r="B5" s="49">
        <v>1</v>
      </c>
      <c r="C5" s="49">
        <v>3.5</v>
      </c>
      <c r="D5" s="49">
        <f>12+3/8</f>
        <v>12.375</v>
      </c>
      <c r="E5" s="49">
        <v>20</v>
      </c>
      <c r="F5" s="50">
        <v>1</v>
      </c>
    </row>
    <row r="6" spans="1:6" x14ac:dyDescent="0.3">
      <c r="A6" s="48">
        <v>0.5</v>
      </c>
      <c r="B6" s="49">
        <v>1.5</v>
      </c>
      <c r="C6" s="49">
        <v>4</v>
      </c>
      <c r="D6" s="49">
        <v>14</v>
      </c>
      <c r="E6" s="49">
        <v>22</v>
      </c>
      <c r="F6" s="50">
        <v>1</v>
      </c>
    </row>
    <row r="7" spans="1:6" x14ac:dyDescent="0.3">
      <c r="A7" s="48">
        <v>0.75</v>
      </c>
      <c r="B7" s="49">
        <v>1.5</v>
      </c>
      <c r="C7" s="49">
        <v>4</v>
      </c>
      <c r="D7" s="49">
        <v>14</v>
      </c>
      <c r="E7" s="49">
        <v>22</v>
      </c>
      <c r="F7" s="50">
        <v>1</v>
      </c>
    </row>
    <row r="8" spans="1:6" x14ac:dyDescent="0.3">
      <c r="A8" s="48">
        <v>1.5</v>
      </c>
      <c r="B8" s="49">
        <v>1</v>
      </c>
      <c r="C8" s="49">
        <v>4</v>
      </c>
      <c r="D8" s="49">
        <v>14</v>
      </c>
      <c r="E8" s="49">
        <v>22</v>
      </c>
      <c r="F8" s="50">
        <v>1</v>
      </c>
    </row>
    <row r="9" spans="1:6" x14ac:dyDescent="0.3">
      <c r="A9" s="48">
        <v>1</v>
      </c>
      <c r="B9" s="49">
        <v>1.5</v>
      </c>
      <c r="C9" s="49">
        <v>4.5</v>
      </c>
      <c r="D9" s="49">
        <v>16</v>
      </c>
      <c r="E9" s="49">
        <v>24</v>
      </c>
      <c r="F9" s="50">
        <v>1.5</v>
      </c>
    </row>
    <row r="10" spans="1:6" x14ac:dyDescent="0.3">
      <c r="A10" s="48">
        <v>1.25</v>
      </c>
      <c r="B10" s="49">
        <v>1.5</v>
      </c>
      <c r="C10" s="49">
        <v>4.5</v>
      </c>
      <c r="D10" s="49">
        <v>16</v>
      </c>
      <c r="E10" s="49">
        <v>24</v>
      </c>
      <c r="F10" s="50">
        <v>1.5</v>
      </c>
    </row>
    <row r="11" spans="1:6" x14ac:dyDescent="0.3">
      <c r="A11" s="48">
        <v>2</v>
      </c>
      <c r="B11" s="49">
        <v>1</v>
      </c>
      <c r="C11" s="49">
        <v>4.5</v>
      </c>
      <c r="D11" s="49">
        <v>16</v>
      </c>
      <c r="E11" s="49">
        <v>24</v>
      </c>
      <c r="F11" s="50">
        <v>1.5</v>
      </c>
    </row>
    <row r="12" spans="1:6" x14ac:dyDescent="0.3">
      <c r="A12" s="48">
        <v>0.5</v>
      </c>
      <c r="B12" s="49">
        <v>2</v>
      </c>
      <c r="C12" s="49">
        <v>5</v>
      </c>
      <c r="D12" s="49">
        <f>17+5/8</f>
        <v>17.625</v>
      </c>
      <c r="E12" s="49">
        <v>25</v>
      </c>
      <c r="F12" s="50">
        <v>1.5</v>
      </c>
    </row>
    <row r="13" spans="1:6" x14ac:dyDescent="0.3">
      <c r="A13" s="48">
        <v>0.75</v>
      </c>
      <c r="B13" s="49">
        <v>2</v>
      </c>
      <c r="C13" s="49">
        <v>5</v>
      </c>
      <c r="D13" s="49">
        <f>17+5/8</f>
        <v>17.625</v>
      </c>
      <c r="E13" s="49">
        <v>25</v>
      </c>
      <c r="F13" s="50">
        <v>1.5</v>
      </c>
    </row>
    <row r="14" spans="1:6" x14ac:dyDescent="0.3">
      <c r="A14" s="48">
        <v>1.5</v>
      </c>
      <c r="B14" s="49">
        <v>1.5</v>
      </c>
      <c r="C14" s="49">
        <v>5</v>
      </c>
      <c r="D14" s="49">
        <f>17+5/8</f>
        <v>17.625</v>
      </c>
      <c r="E14" s="49">
        <v>25</v>
      </c>
      <c r="F14" s="50">
        <v>1.5</v>
      </c>
    </row>
    <row r="15" spans="1:6" x14ac:dyDescent="0.3">
      <c r="A15" s="48">
        <v>1</v>
      </c>
      <c r="B15" s="49">
        <v>2</v>
      </c>
      <c r="C15" s="49">
        <v>5.5</v>
      </c>
      <c r="D15" s="49">
        <f>19+1/8</f>
        <v>19.125</v>
      </c>
      <c r="E15" s="49">
        <v>27</v>
      </c>
      <c r="F15" s="50">
        <v>1.5</v>
      </c>
    </row>
    <row r="16" spans="1:6" x14ac:dyDescent="0.3">
      <c r="A16" s="48">
        <v>1.25</v>
      </c>
      <c r="B16" s="49">
        <v>2</v>
      </c>
      <c r="C16" s="49">
        <v>5.5</v>
      </c>
      <c r="D16" s="49">
        <f>19+1/8</f>
        <v>19.125</v>
      </c>
      <c r="E16" s="49">
        <v>27</v>
      </c>
      <c r="F16" s="50">
        <v>1.5</v>
      </c>
    </row>
    <row r="17" spans="1:6" x14ac:dyDescent="0.3">
      <c r="A17" s="48">
        <v>2</v>
      </c>
      <c r="B17" s="49">
        <v>1.5</v>
      </c>
      <c r="C17" s="49">
        <v>5.5</v>
      </c>
      <c r="D17" s="49">
        <f>19+1/8</f>
        <v>19.125</v>
      </c>
      <c r="E17" s="49">
        <v>27</v>
      </c>
      <c r="F17" s="50">
        <v>1.5</v>
      </c>
    </row>
    <row r="18" spans="1:6" x14ac:dyDescent="0.3">
      <c r="A18" s="48">
        <v>2.5</v>
      </c>
      <c r="B18" s="49">
        <v>1</v>
      </c>
      <c r="C18" s="49">
        <v>5.5</v>
      </c>
      <c r="D18" s="49">
        <f>19+1/8</f>
        <v>19.125</v>
      </c>
      <c r="E18" s="49">
        <v>27</v>
      </c>
      <c r="F18" s="50">
        <v>1.5</v>
      </c>
    </row>
    <row r="19" spans="1:6" x14ac:dyDescent="0.3">
      <c r="A19" s="48">
        <v>3</v>
      </c>
      <c r="B19" s="49">
        <v>1</v>
      </c>
      <c r="C19" s="49">
        <v>5.5</v>
      </c>
      <c r="D19" s="49">
        <f>19+1/8</f>
        <v>19.125</v>
      </c>
      <c r="E19" s="49">
        <v>27</v>
      </c>
      <c r="F19" s="50">
        <v>1.5</v>
      </c>
    </row>
    <row r="20" spans="1:6" x14ac:dyDescent="0.3">
      <c r="A20" s="48">
        <v>0.75</v>
      </c>
      <c r="B20" s="49">
        <v>2.5</v>
      </c>
      <c r="C20" s="49">
        <f t="shared" ref="C20:C29" si="0">6+5/8</f>
        <v>6.625</v>
      </c>
      <c r="D20" s="49">
        <v>22.75</v>
      </c>
      <c r="E20" s="49">
        <v>30</v>
      </c>
      <c r="F20" s="50">
        <v>1.5</v>
      </c>
    </row>
    <row r="21" spans="1:6" x14ac:dyDescent="0.3">
      <c r="A21" s="48">
        <v>1</v>
      </c>
      <c r="B21" s="49">
        <v>2.5</v>
      </c>
      <c r="C21" s="49">
        <f t="shared" si="0"/>
        <v>6.625</v>
      </c>
      <c r="D21" s="49">
        <v>22.75</v>
      </c>
      <c r="E21" s="49">
        <v>30</v>
      </c>
      <c r="F21" s="50">
        <v>1.5</v>
      </c>
    </row>
    <row r="22" spans="1:6" x14ac:dyDescent="0.3">
      <c r="A22" s="48">
        <v>1.25</v>
      </c>
      <c r="B22" s="49">
        <v>2.5</v>
      </c>
      <c r="C22" s="49">
        <f t="shared" si="0"/>
        <v>6.625</v>
      </c>
      <c r="D22" s="49">
        <v>22.75</v>
      </c>
      <c r="E22" s="49">
        <v>30</v>
      </c>
      <c r="F22" s="50">
        <v>1.5</v>
      </c>
    </row>
    <row r="23" spans="1:6" x14ac:dyDescent="0.3">
      <c r="A23" s="48">
        <v>1.5</v>
      </c>
      <c r="B23" s="49">
        <v>2</v>
      </c>
      <c r="C23" s="49">
        <f t="shared" si="0"/>
        <v>6.625</v>
      </c>
      <c r="D23" s="49">
        <v>22.75</v>
      </c>
      <c r="E23" s="49">
        <v>30</v>
      </c>
      <c r="F23" s="50">
        <v>1.5</v>
      </c>
    </row>
    <row r="24" spans="1:6" x14ac:dyDescent="0.3">
      <c r="A24" s="48">
        <v>2</v>
      </c>
      <c r="B24" s="49">
        <v>2</v>
      </c>
      <c r="C24" s="49">
        <f t="shared" si="0"/>
        <v>6.625</v>
      </c>
      <c r="D24" s="49">
        <v>22.75</v>
      </c>
      <c r="E24" s="49">
        <v>30</v>
      </c>
      <c r="F24" s="50">
        <v>1.5</v>
      </c>
    </row>
    <row r="25" spans="1:6" x14ac:dyDescent="0.3">
      <c r="A25" s="48">
        <v>2.5</v>
      </c>
      <c r="B25" s="49">
        <v>1.5</v>
      </c>
      <c r="C25" s="49">
        <f t="shared" si="0"/>
        <v>6.625</v>
      </c>
      <c r="D25" s="49">
        <v>22.75</v>
      </c>
      <c r="E25" s="49">
        <v>30</v>
      </c>
      <c r="F25" s="50">
        <v>1.5</v>
      </c>
    </row>
    <row r="26" spans="1:6" x14ac:dyDescent="0.3">
      <c r="A26" s="48">
        <v>3</v>
      </c>
      <c r="B26" s="49">
        <v>1.5</v>
      </c>
      <c r="C26" s="49">
        <f t="shared" si="0"/>
        <v>6.625</v>
      </c>
      <c r="D26" s="49">
        <v>22.75</v>
      </c>
      <c r="E26" s="49">
        <v>30</v>
      </c>
      <c r="F26" s="50">
        <v>1.5</v>
      </c>
    </row>
    <row r="27" spans="1:6" x14ac:dyDescent="0.3">
      <c r="A27" s="48">
        <v>3.5</v>
      </c>
      <c r="B27" s="49">
        <v>1</v>
      </c>
      <c r="C27" s="49">
        <f t="shared" si="0"/>
        <v>6.625</v>
      </c>
      <c r="D27" s="49">
        <v>22.75</v>
      </c>
      <c r="E27" s="49">
        <v>30</v>
      </c>
      <c r="F27" s="50">
        <v>1.5</v>
      </c>
    </row>
    <row r="28" spans="1:6" x14ac:dyDescent="0.3">
      <c r="A28" s="48">
        <v>4</v>
      </c>
      <c r="B28" s="49">
        <v>1</v>
      </c>
      <c r="C28" s="49">
        <f t="shared" si="0"/>
        <v>6.625</v>
      </c>
      <c r="D28" s="49">
        <v>22.75</v>
      </c>
      <c r="E28" s="49">
        <v>33</v>
      </c>
      <c r="F28" s="50">
        <v>1.5</v>
      </c>
    </row>
    <row r="29" spans="1:6" x14ac:dyDescent="0.3">
      <c r="A29" s="48">
        <v>0.75</v>
      </c>
      <c r="B29" s="49">
        <v>3</v>
      </c>
      <c r="C29" s="49">
        <f t="shared" si="0"/>
        <v>6.625</v>
      </c>
      <c r="D29" s="49">
        <f>25+7/8</f>
        <v>25.875</v>
      </c>
      <c r="E29" s="49">
        <v>33</v>
      </c>
      <c r="F29" s="50">
        <v>2</v>
      </c>
    </row>
    <row r="30" spans="1:6" x14ac:dyDescent="0.3">
      <c r="A30" s="48">
        <v>1</v>
      </c>
      <c r="B30" s="49">
        <v>3</v>
      </c>
      <c r="C30" s="49">
        <f t="shared" ref="C30:C39" si="1">7+5/8</f>
        <v>7.625</v>
      </c>
      <c r="D30" s="49">
        <f>25+7/8</f>
        <v>25.875</v>
      </c>
      <c r="E30" s="49">
        <v>33</v>
      </c>
      <c r="F30" s="50">
        <v>2</v>
      </c>
    </row>
    <row r="31" spans="1:6" x14ac:dyDescent="0.3">
      <c r="A31" s="48">
        <v>1.25</v>
      </c>
      <c r="B31" s="49">
        <v>3</v>
      </c>
      <c r="C31" s="49">
        <f t="shared" si="1"/>
        <v>7.625</v>
      </c>
      <c r="D31" s="49">
        <f>25+7/8</f>
        <v>25.875</v>
      </c>
      <c r="E31" s="49">
        <v>33</v>
      </c>
      <c r="F31" s="50">
        <v>2</v>
      </c>
    </row>
    <row r="32" spans="1:6" x14ac:dyDescent="0.3">
      <c r="A32" s="48">
        <v>1.5</v>
      </c>
      <c r="B32" s="49">
        <v>2.5</v>
      </c>
      <c r="C32" s="49">
        <f t="shared" si="1"/>
        <v>7.625</v>
      </c>
      <c r="D32" s="49">
        <f>25+7/8</f>
        <v>25.875</v>
      </c>
      <c r="E32" s="49">
        <v>33</v>
      </c>
      <c r="F32" s="50">
        <v>2</v>
      </c>
    </row>
    <row r="33" spans="1:6" x14ac:dyDescent="0.3">
      <c r="A33" s="48">
        <v>2</v>
      </c>
      <c r="B33" s="49">
        <v>2.5</v>
      </c>
      <c r="C33" s="49">
        <f t="shared" si="1"/>
        <v>7.625</v>
      </c>
      <c r="D33" s="49">
        <f>25+7/8</f>
        <v>25.875</v>
      </c>
      <c r="E33" s="49">
        <v>33</v>
      </c>
      <c r="F33" s="50">
        <v>2</v>
      </c>
    </row>
    <row r="34" spans="1:6" x14ac:dyDescent="0.3">
      <c r="A34" s="48">
        <v>2.5</v>
      </c>
      <c r="B34" s="49">
        <v>2</v>
      </c>
      <c r="C34" s="49">
        <f t="shared" si="1"/>
        <v>7.625</v>
      </c>
      <c r="D34" s="49">
        <f t="shared" ref="D34:D39" si="2">26+3/8</f>
        <v>26.375</v>
      </c>
      <c r="E34" s="49">
        <v>33</v>
      </c>
      <c r="F34" s="50">
        <v>2</v>
      </c>
    </row>
    <row r="35" spans="1:6" x14ac:dyDescent="0.3">
      <c r="A35" s="48">
        <v>3</v>
      </c>
      <c r="B35" s="49">
        <v>2</v>
      </c>
      <c r="C35" s="49">
        <f t="shared" si="1"/>
        <v>7.625</v>
      </c>
      <c r="D35" s="49">
        <f t="shared" si="2"/>
        <v>26.375</v>
      </c>
      <c r="E35" s="49">
        <v>33</v>
      </c>
      <c r="F35" s="50">
        <v>2</v>
      </c>
    </row>
    <row r="36" spans="1:6" x14ac:dyDescent="0.3">
      <c r="A36" s="48">
        <v>3.5</v>
      </c>
      <c r="B36" s="49">
        <v>1.5</v>
      </c>
      <c r="C36" s="49">
        <f t="shared" si="1"/>
        <v>7.625</v>
      </c>
      <c r="D36" s="49">
        <f t="shared" si="2"/>
        <v>26.375</v>
      </c>
      <c r="E36" s="49">
        <v>33</v>
      </c>
      <c r="F36" s="50">
        <v>2</v>
      </c>
    </row>
    <row r="37" spans="1:6" x14ac:dyDescent="0.3">
      <c r="A37" s="48">
        <v>4</v>
      </c>
      <c r="B37" s="49">
        <v>1.5</v>
      </c>
      <c r="C37" s="49">
        <f t="shared" si="1"/>
        <v>7.625</v>
      </c>
      <c r="D37" s="49">
        <f t="shared" si="2"/>
        <v>26.375</v>
      </c>
      <c r="E37" s="49">
        <v>33</v>
      </c>
      <c r="F37" s="50">
        <v>2</v>
      </c>
    </row>
    <row r="38" spans="1:6" x14ac:dyDescent="0.3">
      <c r="A38" s="48">
        <v>4.5</v>
      </c>
      <c r="B38" s="49">
        <v>1</v>
      </c>
      <c r="C38" s="49">
        <f t="shared" si="1"/>
        <v>7.625</v>
      </c>
      <c r="D38" s="49">
        <f t="shared" si="2"/>
        <v>26.375</v>
      </c>
      <c r="E38" s="49">
        <v>33</v>
      </c>
      <c r="F38" s="50">
        <v>2</v>
      </c>
    </row>
    <row r="39" spans="1:6" x14ac:dyDescent="0.3">
      <c r="A39" s="48">
        <v>5</v>
      </c>
      <c r="B39" s="49">
        <v>1</v>
      </c>
      <c r="C39" s="49">
        <f t="shared" si="1"/>
        <v>7.625</v>
      </c>
      <c r="D39" s="49">
        <f t="shared" si="2"/>
        <v>26.375</v>
      </c>
      <c r="E39" s="49">
        <v>37</v>
      </c>
      <c r="F39" s="50">
        <v>2</v>
      </c>
    </row>
    <row r="40" spans="1:6" x14ac:dyDescent="0.3">
      <c r="A40" s="48">
        <v>1.5</v>
      </c>
      <c r="B40" s="49">
        <v>3</v>
      </c>
      <c r="C40" s="49">
        <v>8.75</v>
      </c>
      <c r="D40" s="49">
        <f t="shared" ref="D40:D48" si="3">29+7/8</f>
        <v>29.875</v>
      </c>
      <c r="E40" s="49">
        <v>37</v>
      </c>
      <c r="F40" s="50">
        <v>2</v>
      </c>
    </row>
    <row r="41" spans="1:6" x14ac:dyDescent="0.3">
      <c r="A41" s="48">
        <v>2</v>
      </c>
      <c r="B41" s="49">
        <v>3</v>
      </c>
      <c r="C41" s="49">
        <v>8.75</v>
      </c>
      <c r="D41" s="49">
        <f t="shared" si="3"/>
        <v>29.875</v>
      </c>
      <c r="E41" s="49">
        <v>37</v>
      </c>
      <c r="F41" s="50">
        <v>2</v>
      </c>
    </row>
    <row r="42" spans="1:6" x14ac:dyDescent="0.3">
      <c r="A42" s="48">
        <v>2.5</v>
      </c>
      <c r="B42" s="49">
        <v>2.5</v>
      </c>
      <c r="C42" s="49">
        <v>8.75</v>
      </c>
      <c r="D42" s="49">
        <f t="shared" si="3"/>
        <v>29.875</v>
      </c>
      <c r="E42" s="49">
        <v>37</v>
      </c>
      <c r="F42" s="50">
        <v>2</v>
      </c>
    </row>
    <row r="43" spans="1:6" x14ac:dyDescent="0.3">
      <c r="A43" s="48">
        <v>3</v>
      </c>
      <c r="B43" s="49">
        <v>2.5</v>
      </c>
      <c r="C43" s="49">
        <v>8.75</v>
      </c>
      <c r="D43" s="49">
        <f t="shared" si="3"/>
        <v>29.875</v>
      </c>
      <c r="E43" s="49">
        <v>37</v>
      </c>
      <c r="F43" s="50">
        <v>2</v>
      </c>
    </row>
    <row r="44" spans="1:6" x14ac:dyDescent="0.3">
      <c r="A44" s="48">
        <v>3.5</v>
      </c>
      <c r="B44" s="49">
        <v>2</v>
      </c>
      <c r="C44" s="49">
        <v>8.75</v>
      </c>
      <c r="D44" s="49">
        <f t="shared" si="3"/>
        <v>29.875</v>
      </c>
      <c r="E44" s="49">
        <v>37</v>
      </c>
      <c r="F44" s="50">
        <v>2</v>
      </c>
    </row>
    <row r="45" spans="1:6" x14ac:dyDescent="0.3">
      <c r="A45" s="48">
        <v>4</v>
      </c>
      <c r="B45" s="49">
        <v>2</v>
      </c>
      <c r="C45" s="49">
        <v>8.75</v>
      </c>
      <c r="D45" s="49">
        <f t="shared" si="3"/>
        <v>29.875</v>
      </c>
      <c r="E45" s="49">
        <v>37</v>
      </c>
      <c r="F45" s="50">
        <v>2</v>
      </c>
    </row>
    <row r="46" spans="1:6" x14ac:dyDescent="0.3">
      <c r="A46" s="48">
        <v>4.5</v>
      </c>
      <c r="B46" s="49">
        <v>1.5</v>
      </c>
      <c r="C46" s="49">
        <v>8.75</v>
      </c>
      <c r="D46" s="49">
        <f t="shared" si="3"/>
        <v>29.875</v>
      </c>
      <c r="E46" s="49">
        <v>37</v>
      </c>
      <c r="F46" s="50">
        <v>2</v>
      </c>
    </row>
    <row r="47" spans="1:6" x14ac:dyDescent="0.3">
      <c r="A47" s="48">
        <v>5</v>
      </c>
      <c r="B47" s="49">
        <v>1.5</v>
      </c>
      <c r="C47" s="49">
        <v>8.75</v>
      </c>
      <c r="D47" s="49">
        <f t="shared" si="3"/>
        <v>29.875</v>
      </c>
      <c r="E47" s="49">
        <v>37</v>
      </c>
      <c r="F47" s="50">
        <v>2</v>
      </c>
    </row>
    <row r="48" spans="1:6" x14ac:dyDescent="0.3">
      <c r="A48" s="48">
        <v>6</v>
      </c>
      <c r="B48" s="49">
        <v>1</v>
      </c>
      <c r="C48" s="49">
        <v>8.75</v>
      </c>
      <c r="D48" s="49">
        <f t="shared" si="3"/>
        <v>29.875</v>
      </c>
      <c r="E48" s="49">
        <v>37</v>
      </c>
      <c r="F48" s="50">
        <v>2</v>
      </c>
    </row>
    <row r="49" spans="1:6" x14ac:dyDescent="0.3">
      <c r="A49" s="48">
        <v>1.5</v>
      </c>
      <c r="B49" s="49">
        <v>3.5</v>
      </c>
      <c r="C49" s="49">
        <v>9.75</v>
      </c>
      <c r="D49" s="49">
        <v>33</v>
      </c>
      <c r="E49" s="49">
        <v>40</v>
      </c>
      <c r="F49" s="50">
        <v>2</v>
      </c>
    </row>
    <row r="50" spans="1:6" x14ac:dyDescent="0.3">
      <c r="A50" s="48">
        <v>2</v>
      </c>
      <c r="B50" s="49">
        <v>3.5</v>
      </c>
      <c r="C50" s="49">
        <v>9.75</v>
      </c>
      <c r="D50" s="49">
        <v>33</v>
      </c>
      <c r="E50" s="49">
        <v>40</v>
      </c>
      <c r="F50" s="50">
        <v>2</v>
      </c>
    </row>
    <row r="51" spans="1:6" x14ac:dyDescent="0.3">
      <c r="A51" s="48">
        <v>2.5</v>
      </c>
      <c r="B51" s="49">
        <v>3</v>
      </c>
      <c r="C51" s="49">
        <v>9.75</v>
      </c>
      <c r="D51" s="49">
        <v>33</v>
      </c>
      <c r="E51" s="49">
        <v>40</v>
      </c>
      <c r="F51" s="50">
        <v>2</v>
      </c>
    </row>
    <row r="52" spans="1:6" x14ac:dyDescent="0.3">
      <c r="A52" s="48">
        <v>3</v>
      </c>
      <c r="B52" s="49">
        <v>3</v>
      </c>
      <c r="C52" s="49">
        <v>9.75</v>
      </c>
      <c r="D52" s="49">
        <v>33</v>
      </c>
      <c r="E52" s="49">
        <v>40</v>
      </c>
      <c r="F52" s="50">
        <v>2</v>
      </c>
    </row>
    <row r="53" spans="1:6" x14ac:dyDescent="0.3">
      <c r="A53" s="48">
        <v>3.5</v>
      </c>
      <c r="B53" s="49">
        <v>2.5</v>
      </c>
      <c r="C53" s="49">
        <v>9.75</v>
      </c>
      <c r="D53" s="49">
        <v>33</v>
      </c>
      <c r="E53" s="49">
        <v>40</v>
      </c>
      <c r="F53" s="50">
        <v>2</v>
      </c>
    </row>
    <row r="54" spans="1:6" x14ac:dyDescent="0.3">
      <c r="A54" s="48">
        <v>4</v>
      </c>
      <c r="B54" s="49">
        <v>2.5</v>
      </c>
      <c r="C54" s="49">
        <v>9.75</v>
      </c>
      <c r="D54" s="49">
        <v>33</v>
      </c>
      <c r="E54" s="49">
        <v>40</v>
      </c>
      <c r="F54" s="50">
        <v>2</v>
      </c>
    </row>
    <row r="55" spans="1:6" x14ac:dyDescent="0.3">
      <c r="A55" s="48">
        <v>4.5</v>
      </c>
      <c r="B55" s="49">
        <v>2</v>
      </c>
      <c r="C55" s="49">
        <v>9.75</v>
      </c>
      <c r="D55" s="49">
        <v>33</v>
      </c>
      <c r="E55" s="49">
        <v>40</v>
      </c>
      <c r="F55" s="50">
        <v>2</v>
      </c>
    </row>
    <row r="56" spans="1:6" x14ac:dyDescent="0.3">
      <c r="A56" s="48">
        <v>5</v>
      </c>
      <c r="B56" s="49">
        <v>2</v>
      </c>
      <c r="C56" s="49">
        <v>9.75</v>
      </c>
      <c r="D56" s="49">
        <v>33</v>
      </c>
      <c r="E56" s="49">
        <v>40</v>
      </c>
      <c r="F56" s="50">
        <v>2</v>
      </c>
    </row>
    <row r="57" spans="1:6" x14ac:dyDescent="0.3">
      <c r="A57" s="48">
        <v>6</v>
      </c>
      <c r="B57" s="49">
        <v>1.5</v>
      </c>
      <c r="C57" s="49">
        <v>9.75</v>
      </c>
      <c r="D57" s="49">
        <v>33</v>
      </c>
      <c r="E57" s="49">
        <v>40</v>
      </c>
      <c r="F57" s="50">
        <v>2</v>
      </c>
    </row>
    <row r="58" spans="1:6" x14ac:dyDescent="0.3">
      <c r="A58" s="48">
        <v>1.5</v>
      </c>
      <c r="B58" s="49">
        <v>4</v>
      </c>
      <c r="C58" s="49">
        <v>10.75</v>
      </c>
      <c r="D58" s="49">
        <f>36+1/8</f>
        <v>36.125</v>
      </c>
      <c r="E58" s="49">
        <v>43</v>
      </c>
      <c r="F58" s="50">
        <v>2</v>
      </c>
    </row>
    <row r="59" spans="1:6" x14ac:dyDescent="0.3">
      <c r="A59" s="48">
        <v>2</v>
      </c>
      <c r="B59" s="49">
        <v>4</v>
      </c>
      <c r="C59" s="49">
        <v>10.75</v>
      </c>
      <c r="D59" s="49">
        <f t="shared" ref="D59:D67" si="4">36+1/8</f>
        <v>36.125</v>
      </c>
      <c r="E59" s="49">
        <v>43</v>
      </c>
      <c r="F59" s="50">
        <v>2</v>
      </c>
    </row>
    <row r="60" spans="1:6" x14ac:dyDescent="0.3">
      <c r="A60" s="48">
        <v>2.5</v>
      </c>
      <c r="B60" s="49">
        <v>3.5</v>
      </c>
      <c r="C60" s="49">
        <v>10.75</v>
      </c>
      <c r="D60" s="49">
        <f t="shared" si="4"/>
        <v>36.125</v>
      </c>
      <c r="E60" s="49">
        <v>43</v>
      </c>
      <c r="F60" s="50">
        <v>2</v>
      </c>
    </row>
    <row r="61" spans="1:6" x14ac:dyDescent="0.3">
      <c r="A61" s="48">
        <v>3</v>
      </c>
      <c r="B61" s="49">
        <v>3.5</v>
      </c>
      <c r="C61" s="49">
        <v>10.75</v>
      </c>
      <c r="D61" s="49">
        <f t="shared" si="4"/>
        <v>36.125</v>
      </c>
      <c r="E61" s="49">
        <v>43</v>
      </c>
      <c r="F61" s="50">
        <v>2</v>
      </c>
    </row>
    <row r="62" spans="1:6" x14ac:dyDescent="0.3">
      <c r="A62" s="48">
        <v>3.5</v>
      </c>
      <c r="B62" s="49">
        <v>3</v>
      </c>
      <c r="C62" s="49">
        <v>10.75</v>
      </c>
      <c r="D62" s="49">
        <f t="shared" si="4"/>
        <v>36.125</v>
      </c>
      <c r="E62" s="49">
        <v>43</v>
      </c>
      <c r="F62" s="50">
        <v>2</v>
      </c>
    </row>
    <row r="63" spans="1:6" x14ac:dyDescent="0.3">
      <c r="A63" s="48">
        <v>4</v>
      </c>
      <c r="B63" s="49">
        <v>3</v>
      </c>
      <c r="C63" s="49">
        <v>10.75</v>
      </c>
      <c r="D63" s="49">
        <f t="shared" si="4"/>
        <v>36.125</v>
      </c>
      <c r="E63" s="49">
        <v>43</v>
      </c>
      <c r="F63" s="50">
        <v>2</v>
      </c>
    </row>
    <row r="64" spans="1:6" x14ac:dyDescent="0.3">
      <c r="A64" s="48">
        <v>4.5</v>
      </c>
      <c r="B64" s="49">
        <v>2.5</v>
      </c>
      <c r="C64" s="49">
        <v>10.75</v>
      </c>
      <c r="D64" s="49">
        <f t="shared" si="4"/>
        <v>36.125</v>
      </c>
      <c r="E64" s="49">
        <v>43</v>
      </c>
      <c r="F64" s="50">
        <v>2</v>
      </c>
    </row>
    <row r="65" spans="1:6" x14ac:dyDescent="0.3">
      <c r="A65" s="48">
        <v>5</v>
      </c>
      <c r="B65" s="49">
        <v>2.5</v>
      </c>
      <c r="C65" s="49">
        <v>10.75</v>
      </c>
      <c r="D65" s="49">
        <f t="shared" si="4"/>
        <v>36.125</v>
      </c>
      <c r="E65" s="49">
        <v>43</v>
      </c>
      <c r="F65" s="50">
        <v>2</v>
      </c>
    </row>
    <row r="66" spans="1:6" x14ac:dyDescent="0.3">
      <c r="A66" s="48">
        <v>6</v>
      </c>
      <c r="B66" s="49">
        <v>2</v>
      </c>
      <c r="C66" s="49">
        <v>10.75</v>
      </c>
      <c r="D66" s="49">
        <f t="shared" si="4"/>
        <v>36.125</v>
      </c>
      <c r="E66" s="49">
        <v>43</v>
      </c>
      <c r="F66" s="50">
        <v>2</v>
      </c>
    </row>
    <row r="67" spans="1:6" x14ac:dyDescent="0.3">
      <c r="A67" s="48">
        <v>7</v>
      </c>
      <c r="B67" s="49">
        <v>1.5</v>
      </c>
      <c r="C67" s="49">
        <v>10.75</v>
      </c>
      <c r="D67" s="49">
        <f t="shared" si="4"/>
        <v>36.125</v>
      </c>
      <c r="E67" s="49">
        <v>43</v>
      </c>
      <c r="F67" s="50">
        <v>2</v>
      </c>
    </row>
    <row r="68" spans="1:6" x14ac:dyDescent="0.3">
      <c r="A68" s="48">
        <v>2.5</v>
      </c>
      <c r="B68" s="49">
        <v>4</v>
      </c>
      <c r="C68" s="49">
        <v>11.75</v>
      </c>
      <c r="D68" s="49">
        <v>39.25</v>
      </c>
      <c r="E68" s="49">
        <v>46</v>
      </c>
      <c r="F68" s="50">
        <v>2</v>
      </c>
    </row>
    <row r="69" spans="1:6" x14ac:dyDescent="0.3">
      <c r="A69" s="48">
        <v>3</v>
      </c>
      <c r="B69" s="49">
        <v>4</v>
      </c>
      <c r="C69" s="49">
        <v>11.75</v>
      </c>
      <c r="D69" s="49">
        <v>39.25</v>
      </c>
      <c r="E69" s="49">
        <v>46</v>
      </c>
      <c r="F69" s="50">
        <v>2</v>
      </c>
    </row>
    <row r="70" spans="1:6" x14ac:dyDescent="0.3">
      <c r="A70" s="48">
        <v>3.5</v>
      </c>
      <c r="B70" s="49">
        <v>3.5</v>
      </c>
      <c r="C70" s="49">
        <v>11.75</v>
      </c>
      <c r="D70" s="49">
        <v>39.25</v>
      </c>
      <c r="E70" s="49">
        <v>46</v>
      </c>
      <c r="F70" s="50">
        <v>2</v>
      </c>
    </row>
    <row r="71" spans="1:6" x14ac:dyDescent="0.3">
      <c r="A71" s="48">
        <v>4</v>
      </c>
      <c r="B71" s="49">
        <v>3.5</v>
      </c>
      <c r="C71" s="49">
        <v>11.75</v>
      </c>
      <c r="D71" s="49">
        <v>39.25</v>
      </c>
      <c r="E71" s="49">
        <v>46</v>
      </c>
      <c r="F71" s="50">
        <v>2</v>
      </c>
    </row>
    <row r="72" spans="1:6" x14ac:dyDescent="0.3">
      <c r="A72" s="48">
        <v>4.5</v>
      </c>
      <c r="B72" s="49">
        <v>3</v>
      </c>
      <c r="C72" s="49">
        <v>11.75</v>
      </c>
      <c r="D72" s="49">
        <v>39.25</v>
      </c>
      <c r="E72" s="49">
        <v>46</v>
      </c>
      <c r="F72" s="50">
        <v>2</v>
      </c>
    </row>
    <row r="73" spans="1:6" x14ac:dyDescent="0.3">
      <c r="A73" s="48">
        <v>5</v>
      </c>
      <c r="B73" s="49">
        <v>3</v>
      </c>
      <c r="C73" s="49">
        <v>11.75</v>
      </c>
      <c r="D73" s="49">
        <v>39.25</v>
      </c>
      <c r="E73" s="49">
        <v>46</v>
      </c>
      <c r="F73" s="50">
        <v>2</v>
      </c>
    </row>
    <row r="74" spans="1:6" x14ac:dyDescent="0.3">
      <c r="A74" s="48">
        <v>6</v>
      </c>
      <c r="B74" s="49">
        <v>2.5</v>
      </c>
      <c r="C74" s="49">
        <v>11.75</v>
      </c>
      <c r="D74" s="49">
        <v>39.25</v>
      </c>
      <c r="E74" s="49">
        <v>46</v>
      </c>
      <c r="F74" s="50">
        <v>2</v>
      </c>
    </row>
    <row r="75" spans="1:6" x14ac:dyDescent="0.3">
      <c r="A75" s="48">
        <v>7</v>
      </c>
      <c r="B75" s="49">
        <v>2</v>
      </c>
      <c r="C75" s="49">
        <v>11.75</v>
      </c>
      <c r="D75" s="49">
        <v>39.25</v>
      </c>
      <c r="E75" s="49">
        <v>46</v>
      </c>
      <c r="F75" s="50">
        <v>2</v>
      </c>
    </row>
    <row r="76" spans="1:6" x14ac:dyDescent="0.3">
      <c r="A76" s="48">
        <v>8</v>
      </c>
      <c r="B76" s="49">
        <v>1.5</v>
      </c>
      <c r="C76" s="49">
        <v>11.75</v>
      </c>
      <c r="D76" s="49">
        <v>39.25</v>
      </c>
      <c r="E76" s="49">
        <v>46</v>
      </c>
      <c r="F76" s="50">
        <v>2</v>
      </c>
    </row>
    <row r="77" spans="1:6" x14ac:dyDescent="0.3">
      <c r="A77" s="48">
        <v>3.5</v>
      </c>
      <c r="B77" s="49">
        <v>4</v>
      </c>
      <c r="C77" s="49">
        <v>12.75</v>
      </c>
      <c r="D77" s="49">
        <v>42.5</v>
      </c>
      <c r="E77" s="49">
        <v>50</v>
      </c>
      <c r="F77" s="50">
        <v>2</v>
      </c>
    </row>
    <row r="78" spans="1:6" x14ac:dyDescent="0.3">
      <c r="A78" s="48">
        <v>4</v>
      </c>
      <c r="B78" s="49">
        <v>4</v>
      </c>
      <c r="C78" s="49">
        <v>12.75</v>
      </c>
      <c r="D78" s="49">
        <v>42.5</v>
      </c>
      <c r="E78" s="49">
        <v>50</v>
      </c>
      <c r="F78" s="50">
        <v>2</v>
      </c>
    </row>
    <row r="79" spans="1:6" x14ac:dyDescent="0.3">
      <c r="A79" s="48">
        <v>4.5</v>
      </c>
      <c r="B79" s="49">
        <v>3.5</v>
      </c>
      <c r="C79" s="49">
        <v>12.75</v>
      </c>
      <c r="D79" s="49">
        <v>42.5</v>
      </c>
      <c r="E79" s="49">
        <v>50</v>
      </c>
      <c r="F79" s="50">
        <v>2</v>
      </c>
    </row>
    <row r="80" spans="1:6" x14ac:dyDescent="0.3">
      <c r="A80" s="48">
        <v>5</v>
      </c>
      <c r="B80" s="49">
        <v>0.5</v>
      </c>
      <c r="C80" s="49">
        <v>12.75</v>
      </c>
      <c r="D80" s="49">
        <v>42.5</v>
      </c>
      <c r="E80" s="49">
        <v>50</v>
      </c>
      <c r="F80" s="50">
        <v>2</v>
      </c>
    </row>
    <row r="81" spans="1:6" x14ac:dyDescent="0.3">
      <c r="A81" s="48">
        <v>6</v>
      </c>
      <c r="B81" s="49">
        <v>3</v>
      </c>
      <c r="C81" s="49">
        <v>12.75</v>
      </c>
      <c r="D81" s="49">
        <v>42.5</v>
      </c>
      <c r="E81" s="49">
        <v>50</v>
      </c>
      <c r="F81" s="50">
        <v>2</v>
      </c>
    </row>
    <row r="82" spans="1:6" x14ac:dyDescent="0.3">
      <c r="A82" s="48">
        <v>7</v>
      </c>
      <c r="B82" s="49">
        <v>2.5</v>
      </c>
      <c r="C82" s="49">
        <v>12.75</v>
      </c>
      <c r="D82" s="49">
        <v>42.5</v>
      </c>
      <c r="E82" s="49">
        <v>50</v>
      </c>
      <c r="F82" s="50">
        <v>2</v>
      </c>
    </row>
    <row r="83" spans="1:6" x14ac:dyDescent="0.3">
      <c r="A83" s="48">
        <v>8</v>
      </c>
      <c r="B83" s="49">
        <v>2</v>
      </c>
      <c r="C83" s="49">
        <v>12.75</v>
      </c>
      <c r="D83" s="49">
        <v>42.5</v>
      </c>
      <c r="E83" s="49">
        <v>50</v>
      </c>
      <c r="F83" s="50">
        <v>2</v>
      </c>
    </row>
    <row r="84" spans="1:6" x14ac:dyDescent="0.3">
      <c r="A84" s="48">
        <v>9</v>
      </c>
      <c r="B84" s="49">
        <v>1.5</v>
      </c>
      <c r="C84" s="49">
        <v>12.75</v>
      </c>
      <c r="D84" s="49">
        <v>42.5</v>
      </c>
      <c r="E84" s="49">
        <v>50</v>
      </c>
      <c r="F84" s="50">
        <v>2</v>
      </c>
    </row>
    <row r="85" spans="1:6" x14ac:dyDescent="0.3">
      <c r="A85" s="48">
        <v>4.5</v>
      </c>
      <c r="B85" s="49">
        <v>4</v>
      </c>
      <c r="C85" s="49">
        <v>14</v>
      </c>
      <c r="D85" s="49">
        <f>47+3/8</f>
        <v>47.375</v>
      </c>
      <c r="E85" s="49">
        <v>53</v>
      </c>
      <c r="F85" s="50">
        <v>3</v>
      </c>
    </row>
    <row r="86" spans="1:6" x14ac:dyDescent="0.3">
      <c r="A86" s="48">
        <v>5</v>
      </c>
      <c r="B86" s="49">
        <v>4</v>
      </c>
      <c r="C86" s="49">
        <v>14</v>
      </c>
      <c r="D86" s="49">
        <f t="shared" ref="D86:D91" si="5">47+3/8</f>
        <v>47.375</v>
      </c>
      <c r="E86" s="49">
        <v>53</v>
      </c>
      <c r="F86" s="50">
        <v>3</v>
      </c>
    </row>
    <row r="87" spans="1:6" x14ac:dyDescent="0.3">
      <c r="A87" s="48">
        <v>6</v>
      </c>
      <c r="B87" s="49">
        <v>3.5</v>
      </c>
      <c r="C87" s="49">
        <v>14</v>
      </c>
      <c r="D87" s="49">
        <f t="shared" si="5"/>
        <v>47.375</v>
      </c>
      <c r="E87" s="49">
        <v>53</v>
      </c>
      <c r="F87" s="50">
        <v>3</v>
      </c>
    </row>
    <row r="88" spans="1:6" x14ac:dyDescent="0.3">
      <c r="A88" s="48">
        <v>7</v>
      </c>
      <c r="B88" s="49">
        <v>3</v>
      </c>
      <c r="C88" s="49">
        <v>14</v>
      </c>
      <c r="D88" s="49">
        <f t="shared" si="5"/>
        <v>47.375</v>
      </c>
      <c r="E88" s="49">
        <v>53</v>
      </c>
      <c r="F88" s="50">
        <v>3</v>
      </c>
    </row>
    <row r="89" spans="1:6" x14ac:dyDescent="0.3">
      <c r="A89" s="48">
        <v>8</v>
      </c>
      <c r="B89" s="49">
        <v>2.5</v>
      </c>
      <c r="C89" s="49">
        <v>14</v>
      </c>
      <c r="D89" s="49">
        <f t="shared" si="5"/>
        <v>47.375</v>
      </c>
      <c r="E89" s="49">
        <v>53</v>
      </c>
      <c r="F89" s="50">
        <v>3</v>
      </c>
    </row>
    <row r="90" spans="1:6" x14ac:dyDescent="0.3">
      <c r="A90" s="48">
        <v>9</v>
      </c>
      <c r="B90" s="49">
        <v>2</v>
      </c>
      <c r="C90" s="49">
        <v>14</v>
      </c>
      <c r="D90" s="49">
        <f t="shared" si="5"/>
        <v>47.375</v>
      </c>
      <c r="E90" s="49">
        <v>53</v>
      </c>
      <c r="F90" s="50">
        <v>3</v>
      </c>
    </row>
    <row r="91" spans="1:6" x14ac:dyDescent="0.3">
      <c r="A91" s="48">
        <v>10</v>
      </c>
      <c r="B91" s="49">
        <v>1.5</v>
      </c>
      <c r="C91" s="49">
        <v>14</v>
      </c>
      <c r="D91" s="49">
        <f t="shared" si="5"/>
        <v>47.375</v>
      </c>
      <c r="E91" s="49">
        <v>53</v>
      </c>
      <c r="F91" s="50">
        <v>3</v>
      </c>
    </row>
    <row r="92" spans="1:6" x14ac:dyDescent="0.3">
      <c r="A92" s="48">
        <v>6</v>
      </c>
      <c r="B92" s="49">
        <v>4</v>
      </c>
      <c r="C92" s="49">
        <f>15+1/8</f>
        <v>15.125</v>
      </c>
      <c r="D92" s="49">
        <f>50+7/8</f>
        <v>50.875</v>
      </c>
      <c r="E92" s="49">
        <v>57</v>
      </c>
      <c r="F92" s="50">
        <v>3</v>
      </c>
    </row>
    <row r="93" spans="1:6" x14ac:dyDescent="0.3">
      <c r="A93" s="48">
        <v>7</v>
      </c>
      <c r="B93" s="49">
        <v>3.5</v>
      </c>
      <c r="C93" s="49">
        <f t="shared" ref="C93:C97" si="6">15+1/8</f>
        <v>15.125</v>
      </c>
      <c r="D93" s="49">
        <f t="shared" ref="D93:D97" si="7">50+7/8</f>
        <v>50.875</v>
      </c>
      <c r="E93" s="49">
        <v>57</v>
      </c>
      <c r="F93" s="50">
        <v>3</v>
      </c>
    </row>
    <row r="94" spans="1:6" x14ac:dyDescent="0.3">
      <c r="A94" s="48">
        <v>8</v>
      </c>
      <c r="B94" s="49">
        <v>3</v>
      </c>
      <c r="C94" s="49">
        <f t="shared" si="6"/>
        <v>15.125</v>
      </c>
      <c r="D94" s="49">
        <f t="shared" si="7"/>
        <v>50.875</v>
      </c>
      <c r="E94" s="49">
        <v>57</v>
      </c>
      <c r="F94" s="50">
        <v>3</v>
      </c>
    </row>
    <row r="95" spans="1:6" x14ac:dyDescent="0.3">
      <c r="A95" s="48">
        <v>9</v>
      </c>
      <c r="B95" s="49">
        <v>2.5</v>
      </c>
      <c r="C95" s="49">
        <f t="shared" si="6"/>
        <v>15.125</v>
      </c>
      <c r="D95" s="49">
        <f t="shared" si="7"/>
        <v>50.875</v>
      </c>
      <c r="E95" s="49">
        <v>57</v>
      </c>
      <c r="F95" s="50">
        <v>3</v>
      </c>
    </row>
    <row r="96" spans="1:6" x14ac:dyDescent="0.3">
      <c r="A96" s="48">
        <v>10</v>
      </c>
      <c r="B96" s="49">
        <v>2</v>
      </c>
      <c r="C96" s="49">
        <f t="shared" si="6"/>
        <v>15.125</v>
      </c>
      <c r="D96" s="49">
        <f t="shared" si="7"/>
        <v>50.875</v>
      </c>
      <c r="E96" s="49">
        <v>57</v>
      </c>
      <c r="F96" s="50">
        <v>3</v>
      </c>
    </row>
    <row r="97" spans="1:6" x14ac:dyDescent="0.3">
      <c r="A97" s="48">
        <v>11</v>
      </c>
      <c r="B97" s="49">
        <v>1.5</v>
      </c>
      <c r="C97" s="49">
        <f t="shared" si="6"/>
        <v>15.125</v>
      </c>
      <c r="D97" s="49">
        <f t="shared" si="7"/>
        <v>50.875</v>
      </c>
      <c r="E97" s="49">
        <v>57</v>
      </c>
      <c r="F97" s="50">
        <v>3</v>
      </c>
    </row>
    <row r="98" spans="1:6" x14ac:dyDescent="0.3">
      <c r="A98" s="48">
        <v>6</v>
      </c>
      <c r="B98" s="49">
        <v>4.5</v>
      </c>
      <c r="C98" s="49">
        <f>16+1/8</f>
        <v>16.125</v>
      </c>
      <c r="D98" s="49">
        <v>54</v>
      </c>
      <c r="E98" s="49">
        <v>60</v>
      </c>
      <c r="F98" s="50">
        <v>3</v>
      </c>
    </row>
    <row r="99" spans="1:6" x14ac:dyDescent="0.3">
      <c r="A99" s="51">
        <v>7</v>
      </c>
      <c r="B99" s="52">
        <v>4</v>
      </c>
      <c r="C99" s="52">
        <f>16+1/8</f>
        <v>16.125</v>
      </c>
      <c r="D99" s="52">
        <v>54</v>
      </c>
      <c r="E99" s="52">
        <v>60</v>
      </c>
      <c r="F99" s="53">
        <v>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29"/>
  <sheetViews>
    <sheetView workbookViewId="0">
      <selection activeCell="H2" sqref="H2:M29"/>
    </sheetView>
  </sheetViews>
  <sheetFormatPr defaultRowHeight="14.4" x14ac:dyDescent="0.3"/>
  <cols>
    <col min="1" max="1" width="7.5546875" customWidth="1"/>
    <col min="2" max="6" width="6.33203125" bestFit="1" customWidth="1"/>
    <col min="8" max="8" width="6.5546875" customWidth="1"/>
    <col min="9" max="9" width="6.33203125" customWidth="1"/>
    <col min="10" max="10" width="7" customWidth="1"/>
    <col min="11" max="12" width="6.6640625" customWidth="1"/>
    <col min="13" max="13" width="7.44140625" customWidth="1"/>
  </cols>
  <sheetData>
    <row r="1" spans="1:13" x14ac:dyDescent="0.3">
      <c r="A1" s="78" t="s">
        <v>57</v>
      </c>
      <c r="B1" s="78"/>
      <c r="C1" s="78"/>
      <c r="D1" s="78"/>
      <c r="E1" s="78"/>
      <c r="F1" s="78"/>
      <c r="H1" s="78" t="s">
        <v>56</v>
      </c>
      <c r="I1" s="78"/>
      <c r="J1" s="78"/>
      <c r="K1" s="78"/>
      <c r="L1" s="78"/>
      <c r="M1" s="78"/>
    </row>
    <row r="2" spans="1:13" x14ac:dyDescent="0.3">
      <c r="A2" s="76" t="s">
        <v>55</v>
      </c>
      <c r="B2" s="77" t="s">
        <v>54</v>
      </c>
      <c r="C2" s="77"/>
      <c r="D2" s="77"/>
      <c r="E2" s="77"/>
      <c r="F2" s="77"/>
      <c r="H2" s="76" t="s">
        <v>55</v>
      </c>
      <c r="I2" s="77" t="s">
        <v>54</v>
      </c>
      <c r="J2" s="77"/>
      <c r="K2" s="77"/>
      <c r="L2" s="77"/>
      <c r="M2" s="77"/>
    </row>
    <row r="3" spans="1:13" ht="26.25" customHeight="1" x14ac:dyDescent="0.3">
      <c r="A3" s="76"/>
      <c r="B3" s="23">
        <v>1</v>
      </c>
      <c r="C3" s="23">
        <v>1.5</v>
      </c>
      <c r="D3" s="23">
        <v>2</v>
      </c>
      <c r="E3" s="23">
        <v>2.5</v>
      </c>
      <c r="F3" s="23">
        <v>3</v>
      </c>
      <c r="H3" s="76"/>
      <c r="I3" s="23">
        <v>1</v>
      </c>
      <c r="J3" s="23">
        <v>1.5</v>
      </c>
      <c r="K3" s="23">
        <v>2</v>
      </c>
      <c r="L3" s="23">
        <v>2.5</v>
      </c>
      <c r="M3" s="23">
        <v>3</v>
      </c>
    </row>
    <row r="4" spans="1:13" x14ac:dyDescent="0.3">
      <c r="A4" s="23">
        <v>0.5</v>
      </c>
      <c r="B4" s="23">
        <v>2</v>
      </c>
      <c r="C4" s="23">
        <v>5</v>
      </c>
      <c r="D4" s="23">
        <v>8</v>
      </c>
      <c r="E4" s="23">
        <v>12</v>
      </c>
      <c r="F4" s="23">
        <v>23</v>
      </c>
      <c r="H4" s="23">
        <v>0.5</v>
      </c>
      <c r="I4" s="23">
        <v>1</v>
      </c>
      <c r="J4" s="23">
        <v>3</v>
      </c>
      <c r="K4" s="23">
        <v>5</v>
      </c>
      <c r="L4" s="23">
        <v>7</v>
      </c>
      <c r="M4" s="23">
        <v>8</v>
      </c>
    </row>
    <row r="5" spans="1:13" x14ac:dyDescent="0.3">
      <c r="A5" s="23">
        <v>0.75</v>
      </c>
      <c r="B5" s="23">
        <v>2</v>
      </c>
      <c r="C5" s="23">
        <v>5</v>
      </c>
      <c r="D5" s="23">
        <v>9</v>
      </c>
      <c r="E5" s="23">
        <v>12</v>
      </c>
      <c r="F5" s="23">
        <v>23</v>
      </c>
      <c r="H5" s="23">
        <v>0.75</v>
      </c>
      <c r="I5" s="23">
        <v>1</v>
      </c>
      <c r="J5" s="23">
        <v>3</v>
      </c>
      <c r="K5" s="23">
        <v>5</v>
      </c>
      <c r="L5" s="23">
        <v>7</v>
      </c>
      <c r="M5" s="23">
        <v>8</v>
      </c>
    </row>
    <row r="6" spans="1:13" x14ac:dyDescent="0.3">
      <c r="A6" s="23">
        <v>1</v>
      </c>
      <c r="B6" s="23">
        <v>3</v>
      </c>
      <c r="C6" s="23">
        <v>6</v>
      </c>
      <c r="D6" s="23">
        <v>11</v>
      </c>
      <c r="E6" s="23">
        <v>12</v>
      </c>
      <c r="F6" s="23">
        <v>23</v>
      </c>
      <c r="H6" s="23">
        <v>1</v>
      </c>
      <c r="I6" s="23">
        <v>2</v>
      </c>
      <c r="J6" s="23">
        <v>4</v>
      </c>
      <c r="K6" s="23">
        <v>6</v>
      </c>
      <c r="L6" s="23">
        <v>7</v>
      </c>
      <c r="M6" s="23">
        <v>8</v>
      </c>
    </row>
    <row r="7" spans="1:13" x14ac:dyDescent="0.3">
      <c r="A7" s="23">
        <v>1.25</v>
      </c>
      <c r="B7" s="23">
        <v>3</v>
      </c>
      <c r="C7" s="23">
        <v>9</v>
      </c>
      <c r="D7" s="23">
        <v>11</v>
      </c>
      <c r="E7" s="23">
        <v>18</v>
      </c>
      <c r="F7" s="23">
        <v>23</v>
      </c>
      <c r="H7" s="23">
        <v>1.25</v>
      </c>
      <c r="I7" s="23">
        <v>2</v>
      </c>
      <c r="J7" s="23">
        <v>5</v>
      </c>
      <c r="K7" s="23">
        <v>6</v>
      </c>
      <c r="L7" s="23">
        <v>7</v>
      </c>
      <c r="M7" s="23">
        <v>8</v>
      </c>
    </row>
    <row r="8" spans="1:13" x14ac:dyDescent="0.3">
      <c r="A8" s="23">
        <v>1.5</v>
      </c>
      <c r="B8" s="23">
        <v>4</v>
      </c>
      <c r="C8" s="23">
        <v>9</v>
      </c>
      <c r="D8" s="23">
        <v>18</v>
      </c>
      <c r="E8" s="23">
        <v>23</v>
      </c>
      <c r="F8" s="23">
        <v>15</v>
      </c>
      <c r="H8" s="23">
        <v>1.5</v>
      </c>
      <c r="I8" s="23">
        <v>3</v>
      </c>
      <c r="J8" s="23">
        <v>5</v>
      </c>
      <c r="K8" s="23">
        <v>7</v>
      </c>
      <c r="L8" s="23">
        <v>8</v>
      </c>
      <c r="M8" s="23">
        <v>9</v>
      </c>
    </row>
    <row r="9" spans="1:13" x14ac:dyDescent="0.3">
      <c r="A9" s="23">
        <v>2</v>
      </c>
      <c r="B9" s="23">
        <v>7</v>
      </c>
      <c r="C9" s="23">
        <v>10</v>
      </c>
      <c r="D9" s="23">
        <v>18</v>
      </c>
      <c r="E9" s="23">
        <v>20</v>
      </c>
      <c r="F9" s="23">
        <v>24</v>
      </c>
      <c r="H9" s="23">
        <v>2</v>
      </c>
      <c r="I9" s="23">
        <v>4</v>
      </c>
      <c r="J9" s="23">
        <v>6</v>
      </c>
      <c r="K9" s="23">
        <v>7</v>
      </c>
      <c r="L9" s="23">
        <v>8</v>
      </c>
      <c r="M9" s="23">
        <v>9</v>
      </c>
    </row>
    <row r="10" spans="1:13" x14ac:dyDescent="0.3">
      <c r="A10" s="23">
        <v>2.5</v>
      </c>
      <c r="B10" s="23">
        <v>13</v>
      </c>
      <c r="C10" s="23">
        <v>16</v>
      </c>
      <c r="D10" s="23">
        <v>20</v>
      </c>
      <c r="E10" s="23">
        <v>24</v>
      </c>
      <c r="F10" s="23">
        <v>25</v>
      </c>
      <c r="H10" s="23">
        <v>2.5</v>
      </c>
      <c r="I10" s="23">
        <v>5</v>
      </c>
      <c r="J10" s="23">
        <v>7</v>
      </c>
      <c r="K10" s="23">
        <v>8</v>
      </c>
      <c r="L10" s="23">
        <v>9</v>
      </c>
      <c r="M10" s="23">
        <v>10</v>
      </c>
    </row>
    <row r="11" spans="1:13" x14ac:dyDescent="0.3">
      <c r="A11" s="23">
        <v>3</v>
      </c>
      <c r="B11" s="23">
        <v>14</v>
      </c>
      <c r="C11" s="23">
        <v>19</v>
      </c>
      <c r="D11" s="23">
        <v>22</v>
      </c>
      <c r="E11" s="23">
        <v>24</v>
      </c>
      <c r="F11" s="23">
        <v>25</v>
      </c>
      <c r="H11" s="23">
        <v>3</v>
      </c>
      <c r="I11" s="23">
        <v>6</v>
      </c>
      <c r="J11" s="23">
        <v>7</v>
      </c>
      <c r="K11" s="23">
        <v>8</v>
      </c>
      <c r="L11" s="23">
        <v>9</v>
      </c>
      <c r="M11" s="23">
        <v>10</v>
      </c>
    </row>
    <row r="12" spans="1:13" x14ac:dyDescent="0.3">
      <c r="A12" s="23">
        <v>3.5</v>
      </c>
      <c r="B12" s="23">
        <v>17</v>
      </c>
      <c r="C12" s="23">
        <v>21</v>
      </c>
      <c r="D12" s="23">
        <v>27</v>
      </c>
      <c r="E12" s="23">
        <v>30</v>
      </c>
      <c r="F12" s="23">
        <v>33</v>
      </c>
      <c r="H12" s="23">
        <v>3.5</v>
      </c>
      <c r="I12" s="23">
        <v>7</v>
      </c>
      <c r="J12" s="23">
        <v>8</v>
      </c>
      <c r="K12" s="23">
        <v>9</v>
      </c>
      <c r="L12" s="23">
        <v>10</v>
      </c>
      <c r="M12" s="23">
        <v>11</v>
      </c>
    </row>
    <row r="13" spans="1:13" x14ac:dyDescent="0.3">
      <c r="A13" s="23">
        <v>4</v>
      </c>
      <c r="B13" s="23">
        <v>17</v>
      </c>
      <c r="C13" s="23">
        <v>21</v>
      </c>
      <c r="D13" s="23">
        <v>27</v>
      </c>
      <c r="E13" s="23">
        <v>30</v>
      </c>
      <c r="F13" s="23">
        <v>33</v>
      </c>
      <c r="H13" s="23">
        <v>4</v>
      </c>
      <c r="I13" s="23">
        <v>7</v>
      </c>
      <c r="J13" s="23">
        <v>8</v>
      </c>
      <c r="K13" s="23">
        <v>9</v>
      </c>
      <c r="L13" s="23">
        <v>10</v>
      </c>
      <c r="M13" s="23">
        <v>11</v>
      </c>
    </row>
    <row r="14" spans="1:13" x14ac:dyDescent="0.3">
      <c r="A14" s="23">
        <v>4.5</v>
      </c>
      <c r="B14" s="23">
        <v>28</v>
      </c>
      <c r="C14" s="23">
        <v>27</v>
      </c>
      <c r="D14" s="23">
        <v>30</v>
      </c>
      <c r="E14" s="23">
        <v>38</v>
      </c>
      <c r="F14" s="23">
        <v>31</v>
      </c>
      <c r="H14" s="23">
        <v>4.5</v>
      </c>
      <c r="I14" s="23">
        <v>8</v>
      </c>
      <c r="J14" s="23">
        <v>9</v>
      </c>
      <c r="K14" s="23">
        <v>10</v>
      </c>
      <c r="L14" s="23">
        <v>11</v>
      </c>
      <c r="M14" s="23">
        <v>12</v>
      </c>
    </row>
    <row r="15" spans="1:13" x14ac:dyDescent="0.3">
      <c r="A15" s="23">
        <v>5</v>
      </c>
      <c r="B15" s="23">
        <v>28</v>
      </c>
      <c r="C15" s="23">
        <v>29</v>
      </c>
      <c r="D15" s="23">
        <v>36</v>
      </c>
      <c r="E15" s="23">
        <v>38</v>
      </c>
      <c r="F15" s="23">
        <v>39</v>
      </c>
      <c r="H15" s="23">
        <v>5</v>
      </c>
      <c r="I15" s="23">
        <v>8</v>
      </c>
      <c r="J15" s="23">
        <v>9</v>
      </c>
      <c r="K15" s="23">
        <v>10</v>
      </c>
      <c r="L15" s="23">
        <v>11</v>
      </c>
      <c r="M15" s="23">
        <v>12</v>
      </c>
    </row>
    <row r="16" spans="1:13" x14ac:dyDescent="0.3">
      <c r="A16" s="23">
        <v>6</v>
      </c>
      <c r="B16" s="23">
        <v>32</v>
      </c>
      <c r="C16" s="23">
        <v>35</v>
      </c>
      <c r="D16" s="23">
        <v>37</v>
      </c>
      <c r="E16" s="23">
        <v>39</v>
      </c>
      <c r="F16" s="23">
        <v>44</v>
      </c>
      <c r="H16" s="23">
        <v>6</v>
      </c>
      <c r="I16" s="23">
        <v>9</v>
      </c>
      <c r="J16" s="23">
        <v>10</v>
      </c>
      <c r="K16" s="23">
        <v>11</v>
      </c>
      <c r="L16" s="23">
        <v>12</v>
      </c>
      <c r="M16" s="23">
        <v>13</v>
      </c>
    </row>
    <row r="17" spans="1:13" x14ac:dyDescent="0.3">
      <c r="A17" s="23">
        <v>7</v>
      </c>
      <c r="B17" s="23">
        <v>35</v>
      </c>
      <c r="C17" s="23">
        <v>37</v>
      </c>
      <c r="D17" s="23">
        <v>39</v>
      </c>
      <c r="E17" s="23">
        <v>44</v>
      </c>
      <c r="F17" s="23">
        <v>45</v>
      </c>
      <c r="H17" s="23">
        <v>7</v>
      </c>
      <c r="I17" s="23">
        <v>10</v>
      </c>
      <c r="J17" s="23">
        <v>11</v>
      </c>
      <c r="K17" s="23">
        <v>12</v>
      </c>
      <c r="L17" s="23">
        <v>13</v>
      </c>
      <c r="M17" s="23">
        <v>14</v>
      </c>
    </row>
    <row r="18" spans="1:13" x14ac:dyDescent="0.3">
      <c r="A18" s="23">
        <v>8</v>
      </c>
      <c r="B18" s="23">
        <v>41</v>
      </c>
      <c r="C18" s="23">
        <v>42</v>
      </c>
      <c r="D18" s="23">
        <v>43</v>
      </c>
      <c r="E18" s="23">
        <v>47</v>
      </c>
      <c r="F18" s="23">
        <v>49</v>
      </c>
      <c r="H18" s="23">
        <v>8</v>
      </c>
      <c r="I18" s="23">
        <v>11</v>
      </c>
      <c r="J18" s="23">
        <v>12</v>
      </c>
      <c r="K18" s="23">
        <v>13</v>
      </c>
      <c r="L18" s="23">
        <v>14</v>
      </c>
      <c r="M18" s="23">
        <v>15</v>
      </c>
    </row>
    <row r="19" spans="1:13" x14ac:dyDescent="0.3">
      <c r="A19" s="23">
        <v>9</v>
      </c>
      <c r="B19" s="23">
        <v>42</v>
      </c>
      <c r="C19" s="23">
        <v>43</v>
      </c>
      <c r="D19" s="23">
        <v>47</v>
      </c>
      <c r="E19" s="23">
        <v>49</v>
      </c>
      <c r="F19" s="23">
        <v>52</v>
      </c>
      <c r="H19" s="23">
        <v>9</v>
      </c>
      <c r="I19" s="23">
        <v>12</v>
      </c>
      <c r="J19" s="23">
        <v>13</v>
      </c>
      <c r="K19" s="23">
        <v>14</v>
      </c>
      <c r="L19" s="23">
        <v>15</v>
      </c>
      <c r="M19" s="23">
        <v>16</v>
      </c>
    </row>
    <row r="20" spans="1:13" x14ac:dyDescent="0.3">
      <c r="A20" s="23">
        <v>10</v>
      </c>
      <c r="B20" s="23">
        <v>46</v>
      </c>
      <c r="C20" s="23">
        <v>50</v>
      </c>
      <c r="D20" s="23">
        <v>51</v>
      </c>
      <c r="E20" s="23">
        <v>55</v>
      </c>
      <c r="F20" s="23">
        <v>54</v>
      </c>
      <c r="H20" s="23">
        <v>10</v>
      </c>
      <c r="I20" s="23">
        <v>13</v>
      </c>
      <c r="J20" s="23">
        <v>14</v>
      </c>
      <c r="K20" s="23">
        <v>15</v>
      </c>
      <c r="L20" s="23">
        <v>16</v>
      </c>
      <c r="M20" s="23">
        <v>17</v>
      </c>
    </row>
    <row r="21" spans="1:13" x14ac:dyDescent="0.3">
      <c r="A21" s="23">
        <v>11</v>
      </c>
      <c r="B21" s="23">
        <v>50</v>
      </c>
      <c r="C21" s="23">
        <v>51</v>
      </c>
      <c r="D21" s="23">
        <v>52</v>
      </c>
      <c r="E21" s="23">
        <v>56</v>
      </c>
      <c r="F21" s="23" t="s">
        <v>53</v>
      </c>
      <c r="H21" s="23">
        <v>11</v>
      </c>
      <c r="I21" s="23">
        <v>14</v>
      </c>
      <c r="J21" s="23">
        <v>15</v>
      </c>
      <c r="K21" s="23">
        <v>16</v>
      </c>
      <c r="L21" s="23">
        <v>17</v>
      </c>
      <c r="M21" s="23">
        <v>18</v>
      </c>
    </row>
    <row r="22" spans="1:13" x14ac:dyDescent="0.3">
      <c r="A22" s="23">
        <v>12</v>
      </c>
      <c r="B22" s="23">
        <v>48</v>
      </c>
      <c r="C22" s="23">
        <v>55</v>
      </c>
      <c r="D22" s="23">
        <v>56</v>
      </c>
      <c r="E22" s="23" t="s">
        <v>53</v>
      </c>
      <c r="F22" s="23" t="s">
        <v>53</v>
      </c>
      <c r="H22" s="23">
        <v>12</v>
      </c>
      <c r="I22" s="23">
        <v>15</v>
      </c>
      <c r="J22" s="23">
        <v>16</v>
      </c>
      <c r="K22" s="23">
        <v>17</v>
      </c>
      <c r="L22" s="23">
        <v>18</v>
      </c>
      <c r="M22" s="23">
        <v>19</v>
      </c>
    </row>
    <row r="23" spans="1:13" x14ac:dyDescent="0.3">
      <c r="H23" s="23">
        <v>14</v>
      </c>
      <c r="I23" s="23">
        <v>16</v>
      </c>
      <c r="J23" s="23">
        <v>17</v>
      </c>
      <c r="K23" s="23">
        <v>18</v>
      </c>
      <c r="L23" s="23">
        <v>19</v>
      </c>
      <c r="M23" s="23">
        <v>20</v>
      </c>
    </row>
    <row r="24" spans="1:13" x14ac:dyDescent="0.3">
      <c r="H24" s="23">
        <v>15</v>
      </c>
      <c r="I24" s="23">
        <v>17</v>
      </c>
      <c r="J24" s="23">
        <v>18</v>
      </c>
      <c r="K24" s="23">
        <v>19</v>
      </c>
      <c r="L24" s="23">
        <v>20</v>
      </c>
      <c r="M24" s="23">
        <v>21</v>
      </c>
    </row>
    <row r="25" spans="1:13" x14ac:dyDescent="0.3">
      <c r="H25" s="23">
        <v>16</v>
      </c>
      <c r="I25" s="23">
        <v>18</v>
      </c>
      <c r="J25" s="23">
        <v>19</v>
      </c>
      <c r="K25" s="23">
        <v>20</v>
      </c>
      <c r="L25" s="23">
        <v>21</v>
      </c>
      <c r="M25" s="23">
        <v>22</v>
      </c>
    </row>
    <row r="26" spans="1:13" x14ac:dyDescent="0.3">
      <c r="H26" s="23">
        <v>17</v>
      </c>
      <c r="I26" s="23">
        <v>19</v>
      </c>
      <c r="J26" s="23">
        <v>20</v>
      </c>
      <c r="K26" s="23">
        <v>21</v>
      </c>
      <c r="L26" s="23">
        <v>22</v>
      </c>
      <c r="M26" s="23" t="s">
        <v>53</v>
      </c>
    </row>
    <row r="27" spans="1:13" x14ac:dyDescent="0.3">
      <c r="H27" s="23">
        <v>18</v>
      </c>
      <c r="I27" s="23">
        <v>20</v>
      </c>
      <c r="J27" s="23">
        <v>21</v>
      </c>
      <c r="K27" s="23">
        <v>22</v>
      </c>
      <c r="L27" s="23" t="s">
        <v>53</v>
      </c>
      <c r="M27" s="24" t="s">
        <v>53</v>
      </c>
    </row>
    <row r="28" spans="1:13" x14ac:dyDescent="0.3">
      <c r="H28" s="23">
        <v>19</v>
      </c>
      <c r="I28" s="23">
        <v>21</v>
      </c>
      <c r="J28" s="23">
        <v>22</v>
      </c>
      <c r="K28" s="23" t="s">
        <v>53</v>
      </c>
      <c r="L28" s="24" t="s">
        <v>53</v>
      </c>
      <c r="M28" s="24" t="s">
        <v>53</v>
      </c>
    </row>
    <row r="29" spans="1:13" x14ac:dyDescent="0.3">
      <c r="H29" s="23">
        <v>20</v>
      </c>
      <c r="I29" s="23">
        <v>22</v>
      </c>
      <c r="J29" s="24" t="s">
        <v>53</v>
      </c>
      <c r="K29" s="24" t="s">
        <v>53</v>
      </c>
      <c r="L29" s="24" t="s">
        <v>53</v>
      </c>
      <c r="M29" s="23" t="s">
        <v>53</v>
      </c>
    </row>
  </sheetData>
  <mergeCells count="6">
    <mergeCell ref="A2:A3"/>
    <mergeCell ref="B2:F2"/>
    <mergeCell ref="A1:F1"/>
    <mergeCell ref="H2:H3"/>
    <mergeCell ref="I2:M2"/>
    <mergeCell ref="H1:M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23"/>
  <sheetViews>
    <sheetView workbookViewId="0">
      <selection activeCell="Q20" sqref="Q20"/>
    </sheetView>
  </sheetViews>
  <sheetFormatPr defaultRowHeight="14.4" x14ac:dyDescent="0.3"/>
  <cols>
    <col min="1" max="1" width="13.109375" bestFit="1" customWidth="1"/>
    <col min="2" max="2" width="4.6640625" bestFit="1" customWidth="1"/>
    <col min="3" max="3" width="4.5546875" bestFit="1" customWidth="1"/>
    <col min="4" max="4" width="3" bestFit="1" customWidth="1"/>
    <col min="5" max="5" width="6.109375" bestFit="1" customWidth="1"/>
    <col min="6" max="6" width="4" bestFit="1" customWidth="1"/>
    <col min="7" max="7" width="6.109375" bestFit="1" customWidth="1"/>
    <col min="8" max="8" width="4" bestFit="1" customWidth="1"/>
    <col min="9" max="9" width="5.6640625" bestFit="1" customWidth="1"/>
    <col min="10" max="11" width="4" bestFit="1" customWidth="1"/>
    <col min="12" max="12" width="6.109375" bestFit="1" customWidth="1"/>
    <col min="13" max="13" width="4" bestFit="1" customWidth="1"/>
  </cols>
  <sheetData>
    <row r="1" spans="1:13" x14ac:dyDescent="0.3">
      <c r="A1" s="25" t="s">
        <v>55</v>
      </c>
      <c r="B1" s="25" t="s">
        <v>71</v>
      </c>
      <c r="C1" s="25" t="s">
        <v>76</v>
      </c>
      <c r="D1" s="25" t="s">
        <v>47</v>
      </c>
      <c r="E1" s="25" t="s">
        <v>46</v>
      </c>
      <c r="F1" s="25" t="s">
        <v>45</v>
      </c>
      <c r="G1" s="25" t="s">
        <v>44</v>
      </c>
      <c r="H1" s="25" t="s">
        <v>43</v>
      </c>
      <c r="I1" s="25" t="s">
        <v>75</v>
      </c>
      <c r="J1" s="25" t="s">
        <v>41</v>
      </c>
      <c r="K1" s="25" t="s">
        <v>39</v>
      </c>
      <c r="L1" s="25" t="s">
        <v>74</v>
      </c>
      <c r="M1" s="25" t="s">
        <v>67</v>
      </c>
    </row>
    <row r="2" spans="1:13" x14ac:dyDescent="0.3">
      <c r="A2" s="25" t="s">
        <v>73</v>
      </c>
      <c r="B2" s="25" t="s">
        <v>72</v>
      </c>
      <c r="C2" s="25"/>
      <c r="D2" s="25" t="s">
        <v>10</v>
      </c>
      <c r="E2" s="25" t="s">
        <v>12</v>
      </c>
      <c r="F2" s="25"/>
      <c r="G2" s="25"/>
      <c r="H2" s="25"/>
      <c r="I2" s="25"/>
      <c r="J2" s="25"/>
      <c r="K2" s="25"/>
      <c r="L2" s="25"/>
      <c r="M2" s="25"/>
    </row>
    <row r="3" spans="1:13" x14ac:dyDescent="0.3">
      <c r="A3" s="25" t="s">
        <v>71</v>
      </c>
      <c r="B3" s="25">
        <v>3</v>
      </c>
      <c r="C3" s="25"/>
      <c r="D3" s="25">
        <v>7</v>
      </c>
      <c r="E3" s="25">
        <v>10</v>
      </c>
      <c r="F3" s="25" t="s">
        <v>15</v>
      </c>
      <c r="G3" s="25" t="s">
        <v>18</v>
      </c>
      <c r="H3" s="25" t="s">
        <v>20</v>
      </c>
      <c r="I3" s="25" t="s">
        <v>21</v>
      </c>
      <c r="J3" s="25" t="s">
        <v>70</v>
      </c>
      <c r="K3" s="25"/>
      <c r="L3" s="25"/>
      <c r="M3" s="25"/>
    </row>
    <row r="4" spans="1:13" x14ac:dyDescent="0.3">
      <c r="A4" s="25" t="s">
        <v>69</v>
      </c>
      <c r="B4" s="25">
        <v>4</v>
      </c>
      <c r="C4" s="25">
        <v>5</v>
      </c>
      <c r="D4" s="25">
        <v>7</v>
      </c>
      <c r="E4" s="25">
        <v>10</v>
      </c>
      <c r="F4" s="25">
        <v>12</v>
      </c>
      <c r="G4" s="25">
        <v>15</v>
      </c>
      <c r="H4" s="25">
        <v>17</v>
      </c>
      <c r="I4" s="25">
        <v>18</v>
      </c>
      <c r="J4" s="25">
        <v>19</v>
      </c>
      <c r="K4" s="25"/>
      <c r="L4" s="25"/>
      <c r="M4" s="25"/>
    </row>
    <row r="5" spans="1:13" x14ac:dyDescent="0.3">
      <c r="A5" s="25" t="s">
        <v>47</v>
      </c>
      <c r="B5" s="25">
        <v>5</v>
      </c>
      <c r="C5" s="25"/>
      <c r="D5" s="25">
        <v>9</v>
      </c>
      <c r="E5" s="25">
        <v>11</v>
      </c>
      <c r="F5" s="25">
        <v>13</v>
      </c>
      <c r="G5" s="25">
        <v>15</v>
      </c>
      <c r="H5" s="25">
        <v>17</v>
      </c>
      <c r="I5" s="25">
        <v>18</v>
      </c>
      <c r="J5" s="25">
        <v>19</v>
      </c>
      <c r="K5" s="25"/>
      <c r="L5" s="25"/>
      <c r="M5" s="25"/>
    </row>
    <row r="6" spans="1:13" x14ac:dyDescent="0.3">
      <c r="A6" s="25" t="s">
        <v>68</v>
      </c>
      <c r="B6" s="25">
        <v>6</v>
      </c>
      <c r="C6" s="25">
        <v>7</v>
      </c>
      <c r="D6" s="25">
        <v>9</v>
      </c>
      <c r="E6" s="25">
        <v>12</v>
      </c>
      <c r="F6" s="25">
        <v>13</v>
      </c>
      <c r="G6" s="25">
        <v>15</v>
      </c>
      <c r="H6" s="25">
        <v>17</v>
      </c>
      <c r="I6" s="25">
        <v>18</v>
      </c>
      <c r="J6" s="25">
        <v>19</v>
      </c>
      <c r="K6" s="25"/>
      <c r="L6" s="25"/>
      <c r="M6" s="25"/>
    </row>
    <row r="7" spans="1:13" x14ac:dyDescent="0.3">
      <c r="A7" s="25" t="s">
        <v>46</v>
      </c>
      <c r="B7" s="25">
        <v>7</v>
      </c>
      <c r="C7" s="25"/>
      <c r="D7" s="25">
        <v>10</v>
      </c>
      <c r="E7" s="25">
        <v>12</v>
      </c>
      <c r="F7" s="25">
        <v>15</v>
      </c>
      <c r="G7" s="25">
        <v>17</v>
      </c>
      <c r="H7" s="25">
        <v>18</v>
      </c>
      <c r="I7" s="25">
        <v>19</v>
      </c>
      <c r="J7" s="25">
        <v>20</v>
      </c>
      <c r="K7" s="25"/>
      <c r="L7" s="25"/>
      <c r="M7" s="25"/>
    </row>
    <row r="8" spans="1:13" x14ac:dyDescent="0.3">
      <c r="A8" s="25" t="s">
        <v>45</v>
      </c>
      <c r="B8" s="25">
        <v>9</v>
      </c>
      <c r="C8" s="25"/>
      <c r="D8" s="25">
        <v>11</v>
      </c>
      <c r="E8" s="25">
        <v>13</v>
      </c>
      <c r="F8" s="25">
        <v>15</v>
      </c>
      <c r="G8" s="25">
        <v>17</v>
      </c>
      <c r="H8" s="25">
        <v>18</v>
      </c>
      <c r="I8" s="25">
        <v>19</v>
      </c>
      <c r="J8" s="25">
        <v>20</v>
      </c>
      <c r="K8" s="25" t="s">
        <v>25</v>
      </c>
      <c r="L8" s="25" t="s">
        <v>26</v>
      </c>
      <c r="M8" s="25" t="s">
        <v>26</v>
      </c>
    </row>
    <row r="9" spans="1:13" x14ac:dyDescent="0.3">
      <c r="A9" s="25" t="s">
        <v>44</v>
      </c>
      <c r="B9" s="25">
        <v>10</v>
      </c>
      <c r="C9" s="25"/>
      <c r="D9" s="25">
        <v>12</v>
      </c>
      <c r="E9" s="25">
        <v>15</v>
      </c>
      <c r="F9" s="25">
        <v>17</v>
      </c>
      <c r="G9" s="25">
        <v>18</v>
      </c>
      <c r="H9" s="25">
        <v>19</v>
      </c>
      <c r="I9" s="25">
        <v>20</v>
      </c>
      <c r="J9" s="25">
        <v>21</v>
      </c>
      <c r="K9" s="25">
        <v>22</v>
      </c>
      <c r="L9" s="25">
        <v>23</v>
      </c>
      <c r="M9" s="25">
        <v>24</v>
      </c>
    </row>
    <row r="10" spans="1:13" x14ac:dyDescent="0.3">
      <c r="A10" s="25" t="s">
        <v>43</v>
      </c>
      <c r="B10" s="25">
        <v>11</v>
      </c>
      <c r="C10" s="25"/>
      <c r="D10" s="25">
        <v>13</v>
      </c>
      <c r="E10" s="25">
        <v>15</v>
      </c>
      <c r="F10" s="25">
        <v>17</v>
      </c>
      <c r="G10" s="25">
        <v>18</v>
      </c>
      <c r="H10" s="25">
        <v>19</v>
      </c>
      <c r="I10" s="25">
        <v>20</v>
      </c>
      <c r="J10" s="25">
        <v>21</v>
      </c>
      <c r="K10" s="25">
        <v>23</v>
      </c>
      <c r="L10" s="25">
        <v>24</v>
      </c>
      <c r="M10" s="25">
        <v>25</v>
      </c>
    </row>
    <row r="11" spans="1:13" x14ac:dyDescent="0.3">
      <c r="A11" s="25" t="s">
        <v>42</v>
      </c>
      <c r="B11" s="25">
        <v>12</v>
      </c>
      <c r="C11" s="25"/>
      <c r="D11" s="25">
        <v>15</v>
      </c>
      <c r="E11" s="25">
        <v>17</v>
      </c>
      <c r="F11" s="25">
        <v>18</v>
      </c>
      <c r="G11" s="25">
        <v>19</v>
      </c>
      <c r="H11" s="25">
        <v>20</v>
      </c>
      <c r="I11" s="25">
        <v>21</v>
      </c>
      <c r="J11" s="25">
        <v>22</v>
      </c>
      <c r="K11" s="25">
        <v>23</v>
      </c>
      <c r="L11" s="25">
        <v>24</v>
      </c>
      <c r="M11" s="25">
        <v>25</v>
      </c>
    </row>
    <row r="12" spans="1:13" x14ac:dyDescent="0.3">
      <c r="A12" s="25" t="s">
        <v>41</v>
      </c>
      <c r="B12" s="25">
        <v>13</v>
      </c>
      <c r="C12" s="25"/>
      <c r="D12" s="25">
        <v>15</v>
      </c>
      <c r="E12" s="25">
        <v>17</v>
      </c>
      <c r="F12" s="25">
        <v>18</v>
      </c>
      <c r="G12" s="25">
        <v>19</v>
      </c>
      <c r="H12" s="25">
        <v>20</v>
      </c>
      <c r="I12" s="25">
        <v>21</v>
      </c>
      <c r="J12" s="25">
        <v>22</v>
      </c>
      <c r="K12" s="25">
        <v>24</v>
      </c>
      <c r="L12" s="25">
        <v>25</v>
      </c>
      <c r="M12" s="25">
        <v>26</v>
      </c>
    </row>
    <row r="13" spans="1:13" x14ac:dyDescent="0.3">
      <c r="A13" s="25" t="s">
        <v>39</v>
      </c>
      <c r="B13" s="25">
        <v>15</v>
      </c>
      <c r="C13" s="25"/>
      <c r="D13" s="25">
        <v>17</v>
      </c>
      <c r="E13" s="25">
        <v>18</v>
      </c>
      <c r="F13" s="25">
        <v>19</v>
      </c>
      <c r="G13" s="25">
        <v>20</v>
      </c>
      <c r="H13" s="25">
        <v>21</v>
      </c>
      <c r="I13" s="25">
        <v>22</v>
      </c>
      <c r="J13" s="25">
        <v>23</v>
      </c>
      <c r="K13" s="25">
        <v>25</v>
      </c>
      <c r="L13" s="25">
        <v>26</v>
      </c>
      <c r="M13" s="25">
        <v>27</v>
      </c>
    </row>
    <row r="14" spans="1:13" x14ac:dyDescent="0.3">
      <c r="A14" s="25" t="s">
        <v>67</v>
      </c>
      <c r="B14" s="25">
        <v>17</v>
      </c>
      <c r="C14" s="25"/>
      <c r="D14" s="25">
        <v>18</v>
      </c>
      <c r="E14" s="25">
        <v>19</v>
      </c>
      <c r="F14" s="25">
        <v>20</v>
      </c>
      <c r="G14" s="25">
        <v>21</v>
      </c>
      <c r="H14" s="25">
        <v>22</v>
      </c>
      <c r="I14" s="25">
        <v>23</v>
      </c>
      <c r="J14" s="25">
        <v>24</v>
      </c>
      <c r="K14" s="25">
        <v>26</v>
      </c>
      <c r="L14" s="25">
        <v>27</v>
      </c>
      <c r="M14" s="25">
        <v>28</v>
      </c>
    </row>
    <row r="15" spans="1:13" x14ac:dyDescent="0.3">
      <c r="A15" s="25" t="s">
        <v>66</v>
      </c>
      <c r="B15" s="25">
        <v>19</v>
      </c>
      <c r="C15" s="25"/>
      <c r="D15" s="25">
        <v>20</v>
      </c>
      <c r="E15" s="25">
        <v>21</v>
      </c>
      <c r="F15" s="25">
        <v>22</v>
      </c>
      <c r="G15" s="25">
        <v>23</v>
      </c>
      <c r="H15" s="25">
        <v>24</v>
      </c>
      <c r="I15" s="25">
        <v>25</v>
      </c>
      <c r="J15" s="25">
        <v>26</v>
      </c>
      <c r="K15" s="25">
        <v>26</v>
      </c>
      <c r="L15" s="25">
        <v>29</v>
      </c>
      <c r="M15" s="25">
        <v>30</v>
      </c>
    </row>
    <row r="16" spans="1:13" x14ac:dyDescent="0.3">
      <c r="A16" s="25" t="s">
        <v>65</v>
      </c>
      <c r="B16" s="25"/>
      <c r="C16" s="25"/>
      <c r="D16" s="25">
        <v>22</v>
      </c>
      <c r="E16" s="25">
        <v>23</v>
      </c>
      <c r="F16" s="25">
        <v>24</v>
      </c>
      <c r="G16" s="25">
        <v>25</v>
      </c>
      <c r="H16" s="25">
        <v>26</v>
      </c>
      <c r="I16" s="25">
        <v>27</v>
      </c>
      <c r="J16" s="25">
        <v>28</v>
      </c>
      <c r="K16" s="25">
        <v>30</v>
      </c>
      <c r="L16" s="25">
        <v>31</v>
      </c>
      <c r="M16" s="25">
        <v>32</v>
      </c>
    </row>
    <row r="17" spans="1:13" x14ac:dyDescent="0.3">
      <c r="A17" s="25" t="s">
        <v>64</v>
      </c>
      <c r="B17" s="25"/>
      <c r="C17" s="25"/>
      <c r="D17" s="25">
        <v>24</v>
      </c>
      <c r="E17" s="25">
        <v>25</v>
      </c>
      <c r="F17" s="25">
        <v>26</v>
      </c>
      <c r="G17" s="25">
        <v>27</v>
      </c>
      <c r="H17" s="25">
        <v>28</v>
      </c>
      <c r="I17" s="25">
        <v>29</v>
      </c>
      <c r="J17" s="25">
        <v>30</v>
      </c>
      <c r="K17" s="25">
        <v>32</v>
      </c>
      <c r="L17" s="25">
        <v>34</v>
      </c>
      <c r="M17" s="25">
        <v>34</v>
      </c>
    </row>
    <row r="18" spans="1:13" x14ac:dyDescent="0.3">
      <c r="A18" s="25" t="s">
        <v>63</v>
      </c>
      <c r="B18" s="25"/>
      <c r="C18" s="25"/>
      <c r="D18" s="25">
        <v>25</v>
      </c>
      <c r="E18" s="25">
        <v>26</v>
      </c>
      <c r="F18" s="25">
        <v>27</v>
      </c>
      <c r="G18" s="25">
        <v>28</v>
      </c>
      <c r="H18" s="25">
        <v>29</v>
      </c>
      <c r="I18" s="25">
        <v>30</v>
      </c>
      <c r="J18" s="25">
        <v>31</v>
      </c>
      <c r="K18" s="25">
        <v>33</v>
      </c>
      <c r="L18" s="25">
        <v>34</v>
      </c>
      <c r="M18" s="25">
        <v>35</v>
      </c>
    </row>
    <row r="19" spans="1:13" x14ac:dyDescent="0.3">
      <c r="A19" s="25" t="s">
        <v>62</v>
      </c>
      <c r="B19" s="25"/>
      <c r="C19" s="25"/>
      <c r="D19" s="25">
        <v>27</v>
      </c>
      <c r="E19" s="25">
        <v>28</v>
      </c>
      <c r="F19" s="25">
        <v>29</v>
      </c>
      <c r="G19" s="25">
        <v>30</v>
      </c>
      <c r="H19" s="25">
        <v>31</v>
      </c>
      <c r="I19" s="25">
        <v>32</v>
      </c>
      <c r="J19" s="25">
        <v>33</v>
      </c>
      <c r="K19" s="25">
        <v>35</v>
      </c>
      <c r="L19" s="25">
        <v>36</v>
      </c>
      <c r="M19" s="25">
        <v>37</v>
      </c>
    </row>
    <row r="20" spans="1:13" x14ac:dyDescent="0.3">
      <c r="A20" s="25" t="s">
        <v>61</v>
      </c>
      <c r="B20" s="25"/>
      <c r="C20" s="25"/>
      <c r="D20" s="25">
        <v>29</v>
      </c>
      <c r="E20" s="25">
        <v>30</v>
      </c>
      <c r="F20" s="25">
        <v>31</v>
      </c>
      <c r="G20" s="25">
        <v>32</v>
      </c>
      <c r="H20" s="25">
        <v>33</v>
      </c>
      <c r="I20" s="25">
        <v>34</v>
      </c>
      <c r="J20" s="25">
        <v>35</v>
      </c>
      <c r="K20" s="25">
        <v>37</v>
      </c>
      <c r="L20" s="25">
        <v>38</v>
      </c>
      <c r="M20" s="25">
        <v>39</v>
      </c>
    </row>
    <row r="21" spans="1:13" x14ac:dyDescent="0.3">
      <c r="A21" s="25" t="s">
        <v>60</v>
      </c>
      <c r="B21" s="25"/>
      <c r="C21" s="25"/>
      <c r="D21" s="25">
        <v>31</v>
      </c>
      <c r="E21" s="25">
        <v>32</v>
      </c>
      <c r="F21" s="25">
        <v>33</v>
      </c>
      <c r="G21" s="25">
        <v>34</v>
      </c>
      <c r="H21" s="25">
        <v>35</v>
      </c>
      <c r="I21" s="25">
        <v>36</v>
      </c>
      <c r="J21" s="25">
        <v>37</v>
      </c>
      <c r="K21" s="25">
        <v>39</v>
      </c>
      <c r="L21" s="25">
        <v>40</v>
      </c>
      <c r="M21" s="25">
        <v>41</v>
      </c>
    </row>
    <row r="22" spans="1:13" x14ac:dyDescent="0.3">
      <c r="A22" s="25" t="s">
        <v>59</v>
      </c>
      <c r="B22" s="25"/>
      <c r="C22" s="25"/>
      <c r="D22" s="25">
        <v>33</v>
      </c>
      <c r="E22" s="25">
        <v>34</v>
      </c>
      <c r="F22" s="25">
        <v>35</v>
      </c>
      <c r="G22" s="25">
        <v>36</v>
      </c>
      <c r="H22" s="25">
        <v>37</v>
      </c>
      <c r="I22" s="25">
        <v>38</v>
      </c>
      <c r="J22" s="25">
        <v>39</v>
      </c>
      <c r="K22" s="25">
        <v>41</v>
      </c>
      <c r="L22" s="25">
        <v>42</v>
      </c>
      <c r="M22" s="25">
        <v>43</v>
      </c>
    </row>
    <row r="23" spans="1:13" x14ac:dyDescent="0.3">
      <c r="A23" s="25" t="s">
        <v>58</v>
      </c>
      <c r="B23" s="25"/>
      <c r="C23" s="25"/>
      <c r="D23" s="25">
        <v>35</v>
      </c>
      <c r="E23" s="25">
        <v>36</v>
      </c>
      <c r="F23" s="25">
        <v>37</v>
      </c>
      <c r="G23" s="25">
        <v>38</v>
      </c>
      <c r="H23" s="25">
        <v>39</v>
      </c>
      <c r="I23" s="25">
        <v>40</v>
      </c>
      <c r="J23" s="25">
        <v>41</v>
      </c>
      <c r="K23" s="25">
        <v>43</v>
      </c>
      <c r="L23" s="25">
        <v>44</v>
      </c>
      <c r="M23" s="25">
        <v>45</v>
      </c>
    </row>
  </sheetData>
  <pageMargins left="0.7" right="0.7" top="0.75" bottom="0.75" header="0.3" footer="0.3"/>
  <pageSetup paperSize="2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N15"/>
  <sheetViews>
    <sheetView workbookViewId="0">
      <selection activeCell="A2" sqref="A2:N15"/>
    </sheetView>
  </sheetViews>
  <sheetFormatPr defaultRowHeight="14.4" x14ac:dyDescent="0.3"/>
  <cols>
    <col min="1" max="1" width="18.109375" bestFit="1" customWidth="1"/>
    <col min="2" max="2" width="9.6640625" bestFit="1" customWidth="1"/>
    <col min="3" max="3" width="4.6640625" bestFit="1" customWidth="1"/>
    <col min="4" max="4" width="4.5546875" bestFit="1" customWidth="1"/>
    <col min="5" max="5" width="3" bestFit="1" customWidth="1"/>
    <col min="6" max="6" width="6.109375" bestFit="1" customWidth="1"/>
    <col min="7" max="7" width="4" bestFit="1" customWidth="1"/>
    <col min="8" max="8" width="6.109375" bestFit="1" customWidth="1"/>
    <col min="9" max="9" width="4" bestFit="1" customWidth="1"/>
    <col min="10" max="10" width="6.109375" bestFit="1" customWidth="1"/>
    <col min="11" max="12" width="4" bestFit="1" customWidth="1"/>
    <col min="13" max="13" width="6.109375" bestFit="1" customWidth="1"/>
    <col min="14" max="14" width="4" bestFit="1" customWidth="1"/>
  </cols>
  <sheetData>
    <row r="1" spans="1:14" x14ac:dyDescent="0.3">
      <c r="A1" s="79" t="s">
        <v>91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x14ac:dyDescent="0.3">
      <c r="A2" s="25" t="s">
        <v>90</v>
      </c>
      <c r="B2" s="25" t="s">
        <v>89</v>
      </c>
      <c r="C2" s="25" t="s">
        <v>71</v>
      </c>
      <c r="D2" s="25" t="s">
        <v>76</v>
      </c>
      <c r="E2" s="25" t="s">
        <v>47</v>
      </c>
      <c r="F2" s="25" t="s">
        <v>46</v>
      </c>
      <c r="G2" s="25" t="s">
        <v>45</v>
      </c>
      <c r="H2" s="25" t="s">
        <v>44</v>
      </c>
      <c r="I2" s="25" t="s">
        <v>43</v>
      </c>
      <c r="J2" s="25" t="s">
        <v>42</v>
      </c>
      <c r="K2" s="25" t="s">
        <v>41</v>
      </c>
      <c r="L2" s="25" t="s">
        <v>39</v>
      </c>
      <c r="M2" s="25" t="s">
        <v>74</v>
      </c>
      <c r="N2" s="25" t="s">
        <v>67</v>
      </c>
    </row>
    <row r="3" spans="1:14" x14ac:dyDescent="0.3">
      <c r="A3" s="25" t="s">
        <v>73</v>
      </c>
      <c r="B3" s="25" t="s">
        <v>71</v>
      </c>
      <c r="C3" s="25"/>
      <c r="D3" s="25"/>
      <c r="E3" s="25" t="s">
        <v>8</v>
      </c>
      <c r="F3" s="25" t="s">
        <v>12</v>
      </c>
      <c r="G3" s="25" t="s">
        <v>14</v>
      </c>
      <c r="H3" s="25" t="s">
        <v>16</v>
      </c>
      <c r="I3" s="25" t="s">
        <v>18</v>
      </c>
      <c r="J3" s="25"/>
      <c r="K3" s="25"/>
      <c r="L3" s="25"/>
      <c r="M3" s="25"/>
      <c r="N3" s="25"/>
    </row>
    <row r="4" spans="1:14" x14ac:dyDescent="0.3">
      <c r="A4" s="25" t="s">
        <v>71</v>
      </c>
      <c r="B4" s="25" t="s">
        <v>88</v>
      </c>
      <c r="C4" s="25">
        <v>2</v>
      </c>
      <c r="D4" s="25">
        <v>3</v>
      </c>
      <c r="E4" s="25">
        <v>7</v>
      </c>
      <c r="F4" s="25">
        <v>9</v>
      </c>
      <c r="G4" s="25">
        <v>11</v>
      </c>
      <c r="H4" s="25">
        <v>13</v>
      </c>
      <c r="I4" s="25">
        <v>15</v>
      </c>
      <c r="J4" s="25"/>
      <c r="K4" s="25"/>
      <c r="L4" s="25"/>
      <c r="M4" s="25"/>
      <c r="N4" s="25"/>
    </row>
    <row r="5" spans="1:14" x14ac:dyDescent="0.3">
      <c r="A5" s="25" t="s">
        <v>69</v>
      </c>
      <c r="B5" s="25" t="s">
        <v>87</v>
      </c>
      <c r="C5" s="25">
        <v>3</v>
      </c>
      <c r="D5" s="25">
        <v>3</v>
      </c>
      <c r="E5" s="25">
        <v>7</v>
      </c>
      <c r="F5" s="25">
        <v>10</v>
      </c>
      <c r="G5" s="25">
        <v>12</v>
      </c>
      <c r="H5" s="25">
        <v>15</v>
      </c>
      <c r="I5" s="25">
        <v>17</v>
      </c>
      <c r="J5" s="25">
        <v>18</v>
      </c>
      <c r="K5" s="25" t="s">
        <v>22</v>
      </c>
      <c r="L5" s="25"/>
      <c r="M5" s="25"/>
      <c r="N5" s="25"/>
    </row>
    <row r="6" spans="1:14" x14ac:dyDescent="0.3">
      <c r="A6" s="25" t="s">
        <v>47</v>
      </c>
      <c r="B6" s="26" t="s">
        <v>86</v>
      </c>
      <c r="C6" s="25">
        <v>4</v>
      </c>
      <c r="D6" s="25">
        <v>5</v>
      </c>
      <c r="E6" s="25">
        <v>7</v>
      </c>
      <c r="F6" s="25">
        <v>10</v>
      </c>
      <c r="G6" s="25">
        <v>12</v>
      </c>
      <c r="H6" s="25">
        <v>15</v>
      </c>
      <c r="I6" s="25">
        <v>17</v>
      </c>
      <c r="J6" s="25">
        <v>18</v>
      </c>
      <c r="K6" s="25">
        <v>19</v>
      </c>
      <c r="L6" s="25"/>
      <c r="M6" s="25"/>
      <c r="N6" s="25"/>
    </row>
    <row r="7" spans="1:14" x14ac:dyDescent="0.3">
      <c r="A7" s="25" t="s">
        <v>68</v>
      </c>
      <c r="B7" s="25" t="s">
        <v>85</v>
      </c>
      <c r="C7" s="25">
        <v>5</v>
      </c>
      <c r="D7" s="25">
        <v>5</v>
      </c>
      <c r="E7" s="25">
        <v>9</v>
      </c>
      <c r="F7" s="25">
        <v>11</v>
      </c>
      <c r="G7" s="25">
        <v>13</v>
      </c>
      <c r="H7" s="25">
        <v>15</v>
      </c>
      <c r="I7" s="25">
        <v>17</v>
      </c>
      <c r="J7" s="25">
        <v>18</v>
      </c>
      <c r="K7" s="25">
        <v>19</v>
      </c>
      <c r="L7" s="25"/>
      <c r="M7" s="25"/>
      <c r="N7" s="25"/>
    </row>
    <row r="8" spans="1:14" x14ac:dyDescent="0.3">
      <c r="A8" s="25" t="s">
        <v>46</v>
      </c>
      <c r="B8" s="25" t="s">
        <v>84</v>
      </c>
      <c r="C8" s="25">
        <v>6</v>
      </c>
      <c r="D8" s="25">
        <v>7</v>
      </c>
      <c r="E8" s="25">
        <v>9</v>
      </c>
      <c r="F8" s="25">
        <v>12</v>
      </c>
      <c r="G8" s="25">
        <v>13</v>
      </c>
      <c r="H8" s="25">
        <v>15</v>
      </c>
      <c r="I8" s="25">
        <v>17</v>
      </c>
      <c r="J8" s="25">
        <v>18</v>
      </c>
      <c r="K8" s="25">
        <v>19</v>
      </c>
      <c r="L8" s="25"/>
      <c r="M8" s="25"/>
      <c r="N8" s="25"/>
    </row>
    <row r="9" spans="1:14" x14ac:dyDescent="0.3">
      <c r="A9" s="25" t="s">
        <v>45</v>
      </c>
      <c r="B9" s="25" t="s">
        <v>83</v>
      </c>
      <c r="C9" s="25">
        <v>8</v>
      </c>
      <c r="D9" s="25">
        <v>9</v>
      </c>
      <c r="E9" s="25">
        <v>10</v>
      </c>
      <c r="F9" s="25">
        <v>12</v>
      </c>
      <c r="G9" s="25">
        <v>15</v>
      </c>
      <c r="H9" s="25">
        <v>17</v>
      </c>
      <c r="I9" s="25">
        <v>18</v>
      </c>
      <c r="J9" s="25">
        <v>19</v>
      </c>
      <c r="K9" s="25">
        <v>20</v>
      </c>
      <c r="L9" s="25" t="s">
        <v>25</v>
      </c>
      <c r="M9" s="25" t="s">
        <v>26</v>
      </c>
      <c r="N9" s="25" t="s">
        <v>26</v>
      </c>
    </row>
    <row r="10" spans="1:14" x14ac:dyDescent="0.3">
      <c r="A10" s="25" t="s">
        <v>44</v>
      </c>
      <c r="B10" s="25" t="s">
        <v>82</v>
      </c>
      <c r="C10" s="25">
        <v>9</v>
      </c>
      <c r="D10" s="25">
        <v>10</v>
      </c>
      <c r="E10" s="25">
        <v>11</v>
      </c>
      <c r="F10" s="25">
        <v>13</v>
      </c>
      <c r="G10" s="25">
        <v>15</v>
      </c>
      <c r="H10" s="25">
        <v>17</v>
      </c>
      <c r="I10" s="25">
        <v>18</v>
      </c>
      <c r="J10" s="25">
        <v>19</v>
      </c>
      <c r="K10" s="25">
        <v>20</v>
      </c>
      <c r="L10" s="25">
        <v>22</v>
      </c>
      <c r="M10" s="25">
        <v>23</v>
      </c>
      <c r="N10" s="25">
        <v>24</v>
      </c>
    </row>
    <row r="11" spans="1:14" x14ac:dyDescent="0.3">
      <c r="A11" s="25" t="s">
        <v>43</v>
      </c>
      <c r="B11" s="25" t="s">
        <v>81</v>
      </c>
      <c r="C11" s="25">
        <v>10</v>
      </c>
      <c r="D11" s="25">
        <v>11</v>
      </c>
      <c r="E11" s="25">
        <v>12</v>
      </c>
      <c r="F11" s="25">
        <v>15</v>
      </c>
      <c r="G11" s="25">
        <v>17</v>
      </c>
      <c r="H11" s="25">
        <v>18</v>
      </c>
      <c r="I11" s="25">
        <v>19</v>
      </c>
      <c r="J11" s="25">
        <v>20</v>
      </c>
      <c r="K11" s="25">
        <v>21</v>
      </c>
      <c r="L11" s="25">
        <v>23</v>
      </c>
      <c r="M11" s="25">
        <v>24</v>
      </c>
      <c r="N11" s="25">
        <v>25</v>
      </c>
    </row>
    <row r="12" spans="1:14" x14ac:dyDescent="0.3">
      <c r="A12" s="25" t="s">
        <v>42</v>
      </c>
      <c r="B12" s="25" t="s">
        <v>80</v>
      </c>
      <c r="C12" s="25">
        <v>11</v>
      </c>
      <c r="D12" s="25">
        <v>11</v>
      </c>
      <c r="E12" s="25">
        <v>13</v>
      </c>
      <c r="F12" s="25">
        <v>15</v>
      </c>
      <c r="G12" s="25">
        <v>17</v>
      </c>
      <c r="H12" s="25">
        <v>18</v>
      </c>
      <c r="I12" s="25">
        <v>19</v>
      </c>
      <c r="J12" s="25">
        <v>20</v>
      </c>
      <c r="K12" s="25">
        <v>21</v>
      </c>
      <c r="L12" s="25">
        <v>23</v>
      </c>
      <c r="M12" s="25">
        <v>24</v>
      </c>
      <c r="N12" s="25">
        <v>25</v>
      </c>
    </row>
    <row r="13" spans="1:14" x14ac:dyDescent="0.3">
      <c r="A13" s="25" t="s">
        <v>41</v>
      </c>
      <c r="B13" s="25" t="s">
        <v>79</v>
      </c>
      <c r="C13" s="25">
        <v>12</v>
      </c>
      <c r="D13" s="25">
        <v>13</v>
      </c>
      <c r="E13" s="25">
        <v>15</v>
      </c>
      <c r="F13" s="25">
        <v>17</v>
      </c>
      <c r="G13" s="25">
        <v>18</v>
      </c>
      <c r="H13" s="25">
        <v>19</v>
      </c>
      <c r="I13" s="25">
        <v>20</v>
      </c>
      <c r="J13" s="25">
        <v>21</v>
      </c>
      <c r="K13" s="25">
        <v>22</v>
      </c>
      <c r="L13" s="25">
        <v>24</v>
      </c>
      <c r="M13" s="25">
        <v>25</v>
      </c>
      <c r="N13" s="25">
        <v>26</v>
      </c>
    </row>
    <row r="14" spans="1:14" x14ac:dyDescent="0.3">
      <c r="A14" s="25" t="s">
        <v>39</v>
      </c>
      <c r="B14" s="25" t="s">
        <v>78</v>
      </c>
      <c r="C14" s="25">
        <v>14</v>
      </c>
      <c r="D14" s="25">
        <v>15</v>
      </c>
      <c r="E14" s="25">
        <v>17</v>
      </c>
      <c r="F14" s="25">
        <v>18</v>
      </c>
      <c r="G14" s="25">
        <v>19</v>
      </c>
      <c r="H14" s="25">
        <v>20</v>
      </c>
      <c r="I14" s="25">
        <v>21</v>
      </c>
      <c r="J14" s="25">
        <v>22</v>
      </c>
      <c r="K14" s="25">
        <v>23</v>
      </c>
      <c r="L14" s="25">
        <v>25</v>
      </c>
      <c r="M14" s="25">
        <v>26</v>
      </c>
      <c r="N14" s="25">
        <v>27</v>
      </c>
    </row>
    <row r="15" spans="1:14" x14ac:dyDescent="0.3">
      <c r="A15" s="25" t="s">
        <v>67</v>
      </c>
      <c r="B15" s="25" t="s">
        <v>77</v>
      </c>
      <c r="C15" s="25">
        <v>16</v>
      </c>
      <c r="D15" s="25">
        <v>17</v>
      </c>
      <c r="E15" s="25">
        <v>18</v>
      </c>
      <c r="F15" s="25">
        <v>19</v>
      </c>
      <c r="G15" s="25">
        <v>20</v>
      </c>
      <c r="H15" s="25">
        <v>21</v>
      </c>
      <c r="I15" s="25">
        <v>22</v>
      </c>
      <c r="J15" s="25">
        <v>23</v>
      </c>
      <c r="K15" s="25">
        <v>24</v>
      </c>
      <c r="L15" s="25">
        <v>26</v>
      </c>
      <c r="M15" s="25">
        <v>27</v>
      </c>
      <c r="N15" s="25">
        <v>28</v>
      </c>
    </row>
  </sheetData>
  <mergeCells count="1">
    <mergeCell ref="A1:N1"/>
  </mergeCells>
  <pageMargins left="0.7" right="0.7" top="0.75" bottom="0.75" header="0.3" footer="0.3"/>
  <pageSetup paperSize="134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M23"/>
  <sheetViews>
    <sheetView workbookViewId="0">
      <selection sqref="A1:M1"/>
    </sheetView>
  </sheetViews>
  <sheetFormatPr defaultRowHeight="14.4" x14ac:dyDescent="0.3"/>
  <cols>
    <col min="1" max="1" width="13.109375" bestFit="1" customWidth="1"/>
    <col min="2" max="2" width="4.6640625" bestFit="1" customWidth="1"/>
    <col min="3" max="3" width="4.5546875" bestFit="1" customWidth="1"/>
    <col min="4" max="4" width="3" bestFit="1" customWidth="1"/>
    <col min="5" max="5" width="6.109375" bestFit="1" customWidth="1"/>
    <col min="6" max="6" width="4" bestFit="1" customWidth="1"/>
    <col min="7" max="7" width="6.109375" bestFit="1" customWidth="1"/>
    <col min="8" max="8" width="4" bestFit="1" customWidth="1"/>
    <col min="9" max="9" width="5.6640625" bestFit="1" customWidth="1"/>
    <col min="10" max="11" width="4" bestFit="1" customWidth="1"/>
    <col min="12" max="12" width="6.109375" bestFit="1" customWidth="1"/>
    <col min="13" max="13" width="4" bestFit="1" customWidth="1"/>
  </cols>
  <sheetData>
    <row r="1" spans="1:13" x14ac:dyDescent="0.3">
      <c r="A1" s="25" t="s">
        <v>55</v>
      </c>
      <c r="B1" s="25" t="s">
        <v>71</v>
      </c>
      <c r="C1" s="25" t="s">
        <v>76</v>
      </c>
      <c r="D1" s="25" t="s">
        <v>47</v>
      </c>
      <c r="E1" s="25" t="s">
        <v>46</v>
      </c>
      <c r="F1" s="25" t="s">
        <v>45</v>
      </c>
      <c r="G1" s="25" t="s">
        <v>44</v>
      </c>
      <c r="H1" s="25" t="s">
        <v>43</v>
      </c>
      <c r="I1" s="25" t="s">
        <v>75</v>
      </c>
      <c r="J1" s="25" t="s">
        <v>41</v>
      </c>
      <c r="K1" s="25" t="s">
        <v>39</v>
      </c>
      <c r="L1" s="25" t="s">
        <v>74</v>
      </c>
      <c r="M1" s="25" t="s">
        <v>67</v>
      </c>
    </row>
    <row r="2" spans="1:13" x14ac:dyDescent="0.3">
      <c r="A2" s="25" t="s">
        <v>73</v>
      </c>
      <c r="B2" s="25" t="s">
        <v>72</v>
      </c>
      <c r="C2" s="25"/>
      <c r="D2" s="25" t="s">
        <v>10</v>
      </c>
      <c r="E2" s="25" t="s">
        <v>12</v>
      </c>
      <c r="F2" s="25"/>
      <c r="G2" s="25"/>
      <c r="H2" s="25"/>
      <c r="I2" s="25"/>
      <c r="J2" s="25"/>
      <c r="K2" s="25"/>
      <c r="L2" s="25"/>
      <c r="M2" s="25"/>
    </row>
    <row r="3" spans="1:13" x14ac:dyDescent="0.3">
      <c r="A3" s="25" t="s">
        <v>71</v>
      </c>
      <c r="B3" s="25">
        <v>3</v>
      </c>
      <c r="C3" s="25"/>
      <c r="D3" s="25">
        <v>7</v>
      </c>
      <c r="E3" s="25">
        <v>10</v>
      </c>
      <c r="F3" s="25" t="s">
        <v>15</v>
      </c>
      <c r="G3" s="25" t="s">
        <v>18</v>
      </c>
      <c r="H3" s="25" t="s">
        <v>20</v>
      </c>
      <c r="I3" s="25" t="s">
        <v>21</v>
      </c>
      <c r="J3" s="25" t="s">
        <v>70</v>
      </c>
      <c r="K3" s="25"/>
      <c r="L3" s="25"/>
      <c r="M3" s="25"/>
    </row>
    <row r="4" spans="1:13" x14ac:dyDescent="0.3">
      <c r="A4" s="25" t="s">
        <v>69</v>
      </c>
      <c r="B4" s="25">
        <v>4</v>
      </c>
      <c r="C4" s="25">
        <v>5</v>
      </c>
      <c r="D4" s="25">
        <v>7</v>
      </c>
      <c r="E4" s="25">
        <v>10</v>
      </c>
      <c r="F4" s="25">
        <v>12</v>
      </c>
      <c r="G4" s="25">
        <v>15</v>
      </c>
      <c r="H4" s="25">
        <v>17</v>
      </c>
      <c r="I4" s="25">
        <v>18</v>
      </c>
      <c r="J4" s="25">
        <v>19</v>
      </c>
      <c r="K4" s="25"/>
      <c r="L4" s="25"/>
      <c r="M4" s="25"/>
    </row>
    <row r="5" spans="1:13" x14ac:dyDescent="0.3">
      <c r="A5" s="25" t="s">
        <v>47</v>
      </c>
      <c r="B5" s="25">
        <v>5</v>
      </c>
      <c r="C5" s="25"/>
      <c r="D5" s="25">
        <v>9</v>
      </c>
      <c r="E5" s="25">
        <v>11</v>
      </c>
      <c r="F5" s="25">
        <v>13</v>
      </c>
      <c r="G5" s="25">
        <v>15</v>
      </c>
      <c r="H5" s="25">
        <v>17</v>
      </c>
      <c r="I5" s="25">
        <v>18</v>
      </c>
      <c r="J5" s="25">
        <v>19</v>
      </c>
      <c r="K5" s="25"/>
      <c r="L5" s="25"/>
      <c r="M5" s="25"/>
    </row>
    <row r="6" spans="1:13" x14ac:dyDescent="0.3">
      <c r="A6" s="25" t="s">
        <v>68</v>
      </c>
      <c r="B6" s="25">
        <v>6</v>
      </c>
      <c r="C6" s="25">
        <v>7</v>
      </c>
      <c r="D6" s="25">
        <v>9</v>
      </c>
      <c r="E6" s="25">
        <v>12</v>
      </c>
      <c r="F6" s="25">
        <v>13</v>
      </c>
      <c r="G6" s="25">
        <v>15</v>
      </c>
      <c r="H6" s="25">
        <v>17</v>
      </c>
      <c r="I6" s="25">
        <v>18</v>
      </c>
      <c r="J6" s="25">
        <v>19</v>
      </c>
      <c r="K6" s="25"/>
      <c r="L6" s="25"/>
      <c r="M6" s="25"/>
    </row>
    <row r="7" spans="1:13" x14ac:dyDescent="0.3">
      <c r="A7" s="25" t="s">
        <v>46</v>
      </c>
      <c r="B7" s="25">
        <v>7</v>
      </c>
      <c r="C7" s="25"/>
      <c r="D7" s="25">
        <v>10</v>
      </c>
      <c r="E7" s="25">
        <v>12</v>
      </c>
      <c r="F7" s="25">
        <v>15</v>
      </c>
      <c r="G7" s="25">
        <v>17</v>
      </c>
      <c r="H7" s="25">
        <v>18</v>
      </c>
      <c r="I7" s="25">
        <v>19</v>
      </c>
      <c r="J7" s="25">
        <v>20</v>
      </c>
      <c r="K7" s="25"/>
      <c r="L7" s="25"/>
      <c r="M7" s="25"/>
    </row>
    <row r="8" spans="1:13" x14ac:dyDescent="0.3">
      <c r="A8" s="25" t="s">
        <v>45</v>
      </c>
      <c r="B8" s="25">
        <v>9</v>
      </c>
      <c r="C8" s="25"/>
      <c r="D8" s="25">
        <v>11</v>
      </c>
      <c r="E8" s="25">
        <v>13</v>
      </c>
      <c r="F8" s="25">
        <v>15</v>
      </c>
      <c r="G8" s="25">
        <v>17</v>
      </c>
      <c r="H8" s="25">
        <v>18</v>
      </c>
      <c r="I8" s="25">
        <v>19</v>
      </c>
      <c r="J8" s="25">
        <v>20</v>
      </c>
      <c r="K8" s="25" t="s">
        <v>25</v>
      </c>
      <c r="L8" s="25" t="s">
        <v>26</v>
      </c>
      <c r="M8" s="25" t="s">
        <v>26</v>
      </c>
    </row>
    <row r="9" spans="1:13" x14ac:dyDescent="0.3">
      <c r="A9" s="25" t="s">
        <v>44</v>
      </c>
      <c r="B9" s="25">
        <v>10</v>
      </c>
      <c r="C9" s="25"/>
      <c r="D9" s="25">
        <v>12</v>
      </c>
      <c r="E9" s="25">
        <v>15</v>
      </c>
      <c r="F9" s="25">
        <v>17</v>
      </c>
      <c r="G9" s="25">
        <v>18</v>
      </c>
      <c r="H9" s="25">
        <v>19</v>
      </c>
      <c r="I9" s="25">
        <v>20</v>
      </c>
      <c r="J9" s="25">
        <v>21</v>
      </c>
      <c r="K9" s="25">
        <v>22</v>
      </c>
      <c r="L9" s="25">
        <v>23</v>
      </c>
      <c r="M9" s="25">
        <v>24</v>
      </c>
    </row>
    <row r="10" spans="1:13" x14ac:dyDescent="0.3">
      <c r="A10" s="25" t="s">
        <v>43</v>
      </c>
      <c r="B10" s="25">
        <v>11</v>
      </c>
      <c r="C10" s="25"/>
      <c r="D10" s="25">
        <v>13</v>
      </c>
      <c r="E10" s="25">
        <v>15</v>
      </c>
      <c r="F10" s="25">
        <v>17</v>
      </c>
      <c r="G10" s="25">
        <v>18</v>
      </c>
      <c r="H10" s="25">
        <v>19</v>
      </c>
      <c r="I10" s="25">
        <v>20</v>
      </c>
      <c r="J10" s="25">
        <v>21</v>
      </c>
      <c r="K10" s="25">
        <v>23</v>
      </c>
      <c r="L10" s="25">
        <v>24</v>
      </c>
      <c r="M10" s="25">
        <v>25</v>
      </c>
    </row>
    <row r="11" spans="1:13" x14ac:dyDescent="0.3">
      <c r="A11" s="25" t="s">
        <v>42</v>
      </c>
      <c r="B11" s="25">
        <v>12</v>
      </c>
      <c r="C11" s="25"/>
      <c r="D11" s="25">
        <v>15</v>
      </c>
      <c r="E11" s="25">
        <v>17</v>
      </c>
      <c r="F11" s="25">
        <v>18</v>
      </c>
      <c r="G11" s="25">
        <v>19</v>
      </c>
      <c r="H11" s="25">
        <v>20</v>
      </c>
      <c r="I11" s="25">
        <v>21</v>
      </c>
      <c r="J11" s="25">
        <v>22</v>
      </c>
      <c r="K11" s="25">
        <v>23</v>
      </c>
      <c r="L11" s="25">
        <v>24</v>
      </c>
      <c r="M11" s="25">
        <v>25</v>
      </c>
    </row>
    <row r="12" spans="1:13" x14ac:dyDescent="0.3">
      <c r="A12" s="25" t="s">
        <v>41</v>
      </c>
      <c r="B12" s="25">
        <v>13</v>
      </c>
      <c r="C12" s="25"/>
      <c r="D12" s="25">
        <v>15</v>
      </c>
      <c r="E12" s="25">
        <v>17</v>
      </c>
      <c r="F12" s="25">
        <v>18</v>
      </c>
      <c r="G12" s="25">
        <v>19</v>
      </c>
      <c r="H12" s="25">
        <v>20</v>
      </c>
      <c r="I12" s="25">
        <v>21</v>
      </c>
      <c r="J12" s="25">
        <v>22</v>
      </c>
      <c r="K12" s="25">
        <v>24</v>
      </c>
      <c r="L12" s="25">
        <v>25</v>
      </c>
      <c r="M12" s="25">
        <v>26</v>
      </c>
    </row>
    <row r="13" spans="1:13" x14ac:dyDescent="0.3">
      <c r="A13" s="25" t="s">
        <v>39</v>
      </c>
      <c r="B13" s="25">
        <v>15</v>
      </c>
      <c r="C13" s="25"/>
      <c r="D13" s="25">
        <v>17</v>
      </c>
      <c r="E13" s="25">
        <v>18</v>
      </c>
      <c r="F13" s="25">
        <v>19</v>
      </c>
      <c r="G13" s="25">
        <v>20</v>
      </c>
      <c r="H13" s="25">
        <v>21</v>
      </c>
      <c r="I13" s="25">
        <v>22</v>
      </c>
      <c r="J13" s="25">
        <v>23</v>
      </c>
      <c r="K13" s="25">
        <v>25</v>
      </c>
      <c r="L13" s="25">
        <v>26</v>
      </c>
      <c r="M13" s="25">
        <v>27</v>
      </c>
    </row>
    <row r="14" spans="1:13" x14ac:dyDescent="0.3">
      <c r="A14" s="25" t="s">
        <v>67</v>
      </c>
      <c r="B14" s="25">
        <v>17</v>
      </c>
      <c r="C14" s="25"/>
      <c r="D14" s="25">
        <v>18</v>
      </c>
      <c r="E14" s="25">
        <v>19</v>
      </c>
      <c r="F14" s="25">
        <v>20</v>
      </c>
      <c r="G14" s="25">
        <v>21</v>
      </c>
      <c r="H14" s="25">
        <v>22</v>
      </c>
      <c r="I14" s="25">
        <v>23</v>
      </c>
      <c r="J14" s="25">
        <v>24</v>
      </c>
      <c r="K14" s="25">
        <v>26</v>
      </c>
      <c r="L14" s="25">
        <v>27</v>
      </c>
      <c r="M14" s="25">
        <v>28</v>
      </c>
    </row>
    <row r="15" spans="1:13" x14ac:dyDescent="0.3">
      <c r="A15" s="25" t="s">
        <v>66</v>
      </c>
      <c r="B15" s="25">
        <v>19</v>
      </c>
      <c r="C15" s="25"/>
      <c r="D15" s="25">
        <v>20</v>
      </c>
      <c r="E15" s="25">
        <v>21</v>
      </c>
      <c r="F15" s="25">
        <v>22</v>
      </c>
      <c r="G15" s="25">
        <v>23</v>
      </c>
      <c r="H15" s="25">
        <v>24</v>
      </c>
      <c r="I15" s="25">
        <v>25</v>
      </c>
      <c r="J15" s="25">
        <v>26</v>
      </c>
      <c r="K15" s="25">
        <v>26</v>
      </c>
      <c r="L15" s="25">
        <v>29</v>
      </c>
      <c r="M15" s="25">
        <v>30</v>
      </c>
    </row>
    <row r="16" spans="1:13" x14ac:dyDescent="0.3">
      <c r="A16" s="25" t="s">
        <v>65</v>
      </c>
      <c r="B16" s="25"/>
      <c r="C16" s="25"/>
      <c r="D16" s="25">
        <v>22</v>
      </c>
      <c r="E16" s="25">
        <v>23</v>
      </c>
      <c r="F16" s="25">
        <v>24</v>
      </c>
      <c r="G16" s="25">
        <v>25</v>
      </c>
      <c r="H16" s="25">
        <v>26</v>
      </c>
      <c r="I16" s="25">
        <v>27</v>
      </c>
      <c r="J16" s="25">
        <v>28</v>
      </c>
      <c r="K16" s="25">
        <v>30</v>
      </c>
      <c r="L16" s="25">
        <v>31</v>
      </c>
      <c r="M16" s="25">
        <v>32</v>
      </c>
    </row>
    <row r="17" spans="1:13" x14ac:dyDescent="0.3">
      <c r="A17" s="25" t="s">
        <v>64</v>
      </c>
      <c r="B17" s="25"/>
      <c r="C17" s="25"/>
      <c r="D17" s="25">
        <v>24</v>
      </c>
      <c r="E17" s="25">
        <v>25</v>
      </c>
      <c r="F17" s="25">
        <v>26</v>
      </c>
      <c r="G17" s="25">
        <v>27</v>
      </c>
      <c r="H17" s="25">
        <v>28</v>
      </c>
      <c r="I17" s="25">
        <v>29</v>
      </c>
      <c r="J17" s="25">
        <v>30</v>
      </c>
      <c r="K17" s="25">
        <v>32</v>
      </c>
      <c r="L17" s="25">
        <v>34</v>
      </c>
      <c r="M17" s="25">
        <v>34</v>
      </c>
    </row>
    <row r="18" spans="1:13" x14ac:dyDescent="0.3">
      <c r="A18" s="25" t="s">
        <v>63</v>
      </c>
      <c r="B18" s="25"/>
      <c r="C18" s="25"/>
      <c r="D18" s="25">
        <v>25</v>
      </c>
      <c r="E18" s="25">
        <v>26</v>
      </c>
      <c r="F18" s="25">
        <v>27</v>
      </c>
      <c r="G18" s="25">
        <v>28</v>
      </c>
      <c r="H18" s="25">
        <v>29</v>
      </c>
      <c r="I18" s="25">
        <v>30</v>
      </c>
      <c r="J18" s="25">
        <v>31</v>
      </c>
      <c r="K18" s="25">
        <v>33</v>
      </c>
      <c r="L18" s="25">
        <v>34</v>
      </c>
      <c r="M18" s="25">
        <v>35</v>
      </c>
    </row>
    <row r="19" spans="1:13" x14ac:dyDescent="0.3">
      <c r="A19" s="25" t="s">
        <v>62</v>
      </c>
      <c r="B19" s="25"/>
      <c r="C19" s="25"/>
      <c r="D19" s="25">
        <v>27</v>
      </c>
      <c r="E19" s="25">
        <v>28</v>
      </c>
      <c r="F19" s="25">
        <v>29</v>
      </c>
      <c r="G19" s="25">
        <v>30</v>
      </c>
      <c r="H19" s="25">
        <v>31</v>
      </c>
      <c r="I19" s="25">
        <v>32</v>
      </c>
      <c r="J19" s="25">
        <v>33</v>
      </c>
      <c r="K19" s="25">
        <v>35</v>
      </c>
      <c r="L19" s="25">
        <v>36</v>
      </c>
      <c r="M19" s="25">
        <v>37</v>
      </c>
    </row>
    <row r="20" spans="1:13" x14ac:dyDescent="0.3">
      <c r="A20" s="25" t="s">
        <v>61</v>
      </c>
      <c r="B20" s="25"/>
      <c r="C20" s="25"/>
      <c r="D20" s="25">
        <v>29</v>
      </c>
      <c r="E20" s="25">
        <v>30</v>
      </c>
      <c r="F20" s="25">
        <v>31</v>
      </c>
      <c r="G20" s="25">
        <v>32</v>
      </c>
      <c r="H20" s="25">
        <v>33</v>
      </c>
      <c r="I20" s="25">
        <v>34</v>
      </c>
      <c r="J20" s="25">
        <v>35</v>
      </c>
      <c r="K20" s="25">
        <v>37</v>
      </c>
      <c r="L20" s="25">
        <v>38</v>
      </c>
      <c r="M20" s="25">
        <v>39</v>
      </c>
    </row>
    <row r="21" spans="1:13" x14ac:dyDescent="0.3">
      <c r="A21" s="25" t="s">
        <v>60</v>
      </c>
      <c r="B21" s="25"/>
      <c r="C21" s="25"/>
      <c r="D21" s="25">
        <v>31</v>
      </c>
      <c r="E21" s="25">
        <v>32</v>
      </c>
      <c r="F21" s="25">
        <v>33</v>
      </c>
      <c r="G21" s="25">
        <v>34</v>
      </c>
      <c r="H21" s="25">
        <v>35</v>
      </c>
      <c r="I21" s="25">
        <v>36</v>
      </c>
      <c r="J21" s="25">
        <v>37</v>
      </c>
      <c r="K21" s="25">
        <v>39</v>
      </c>
      <c r="L21" s="25">
        <v>40</v>
      </c>
      <c r="M21" s="25">
        <v>41</v>
      </c>
    </row>
    <row r="22" spans="1:13" x14ac:dyDescent="0.3">
      <c r="A22" s="25" t="s">
        <v>59</v>
      </c>
      <c r="B22" s="25"/>
      <c r="C22" s="25"/>
      <c r="D22" s="25">
        <v>33</v>
      </c>
      <c r="E22" s="25">
        <v>34</v>
      </c>
      <c r="F22" s="25">
        <v>35</v>
      </c>
      <c r="G22" s="25">
        <v>36</v>
      </c>
      <c r="H22" s="25">
        <v>37</v>
      </c>
      <c r="I22" s="25">
        <v>38</v>
      </c>
      <c r="J22" s="25">
        <v>39</v>
      </c>
      <c r="K22" s="25">
        <v>41</v>
      </c>
      <c r="L22" s="25">
        <v>42</v>
      </c>
      <c r="M22" s="25">
        <v>43</v>
      </c>
    </row>
    <row r="23" spans="1:13" x14ac:dyDescent="0.3">
      <c r="A23" s="25" t="s">
        <v>58</v>
      </c>
      <c r="B23" s="25"/>
      <c r="C23" s="25"/>
      <c r="D23" s="25">
        <v>35</v>
      </c>
      <c r="E23" s="25">
        <v>36</v>
      </c>
      <c r="F23" s="25">
        <v>37</v>
      </c>
      <c r="G23" s="25">
        <v>38</v>
      </c>
      <c r="H23" s="25">
        <v>39</v>
      </c>
      <c r="I23" s="25">
        <v>40</v>
      </c>
      <c r="J23" s="25">
        <v>41</v>
      </c>
      <c r="K23" s="25">
        <v>43</v>
      </c>
      <c r="L23" s="25">
        <v>44</v>
      </c>
      <c r="M23" s="25">
        <v>45</v>
      </c>
    </row>
  </sheetData>
  <pageMargins left="0.7" right="0.7" top="0.75" bottom="0.75" header="0.3" footer="0.3"/>
  <pageSetup paperSize="2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54AD-5A5E-438C-A4CB-7C3F7256FC03}">
  <dimension ref="A1:Y20"/>
  <sheetViews>
    <sheetView workbookViewId="0">
      <selection activeCell="J32" sqref="J32"/>
    </sheetView>
  </sheetViews>
  <sheetFormatPr defaultRowHeight="14.4" x14ac:dyDescent="0.3"/>
  <cols>
    <col min="1" max="1" width="5.44140625" bestFit="1" customWidth="1"/>
    <col min="2" max="12" width="3.5546875" bestFit="1" customWidth="1"/>
    <col min="13" max="13" width="3" customWidth="1"/>
    <col min="14" max="25" width="3.5546875" bestFit="1" customWidth="1"/>
  </cols>
  <sheetData>
    <row r="1" spans="1:25" x14ac:dyDescent="0.3">
      <c r="A1" s="67" t="s">
        <v>201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9"/>
      <c r="M1" s="4"/>
      <c r="N1" s="64" t="s">
        <v>201</v>
      </c>
      <c r="O1" s="65"/>
      <c r="P1" s="65"/>
      <c r="Q1" s="65"/>
      <c r="R1" s="65"/>
      <c r="S1" s="65"/>
      <c r="T1" s="65"/>
      <c r="U1" s="65"/>
      <c r="V1" s="65"/>
      <c r="W1" s="65"/>
      <c r="X1" s="65"/>
      <c r="Y1" s="66"/>
    </row>
    <row r="2" spans="1:25" s="63" customFormat="1" ht="27.6" x14ac:dyDescent="0.3">
      <c r="A2" s="60" t="s">
        <v>71</v>
      </c>
      <c r="B2" s="61" t="s">
        <v>47</v>
      </c>
      <c r="C2" s="61" t="s">
        <v>182</v>
      </c>
      <c r="D2" s="61" t="s">
        <v>45</v>
      </c>
      <c r="E2" s="61" t="s">
        <v>181</v>
      </c>
      <c r="F2" s="61" t="s">
        <v>43</v>
      </c>
      <c r="G2" s="61" t="s">
        <v>183</v>
      </c>
      <c r="H2" s="61" t="s">
        <v>41</v>
      </c>
      <c r="I2" s="61" t="s">
        <v>184</v>
      </c>
      <c r="J2" s="61" t="s">
        <v>39</v>
      </c>
      <c r="K2" s="61" t="s">
        <v>185</v>
      </c>
      <c r="L2" s="62" t="s">
        <v>67</v>
      </c>
      <c r="N2" s="60" t="s">
        <v>71</v>
      </c>
      <c r="O2" s="61" t="s">
        <v>47</v>
      </c>
      <c r="P2" s="61" t="s">
        <v>182</v>
      </c>
      <c r="Q2" s="61" t="s">
        <v>45</v>
      </c>
      <c r="R2" s="61" t="s">
        <v>181</v>
      </c>
      <c r="S2" s="61" t="s">
        <v>43</v>
      </c>
      <c r="T2" s="61" t="s">
        <v>183</v>
      </c>
      <c r="U2" s="61" t="s">
        <v>41</v>
      </c>
      <c r="V2" s="61" t="s">
        <v>184</v>
      </c>
      <c r="W2" s="61" t="s">
        <v>39</v>
      </c>
      <c r="X2" s="61" t="s">
        <v>185</v>
      </c>
      <c r="Y2" s="62" t="s">
        <v>67</v>
      </c>
    </row>
    <row r="3" spans="1:25" x14ac:dyDescent="0.3">
      <c r="A3" s="54" t="s">
        <v>69</v>
      </c>
      <c r="B3" s="55">
        <v>1</v>
      </c>
      <c r="C3" s="55">
        <v>3</v>
      </c>
      <c r="D3" s="55">
        <v>5</v>
      </c>
      <c r="E3" s="55">
        <v>7</v>
      </c>
      <c r="F3" s="55">
        <v>8</v>
      </c>
      <c r="G3" s="55">
        <v>9</v>
      </c>
      <c r="H3" s="55">
        <v>10</v>
      </c>
      <c r="I3" s="55">
        <v>11</v>
      </c>
      <c r="J3" s="55">
        <v>12</v>
      </c>
      <c r="K3" s="55">
        <v>13</v>
      </c>
      <c r="L3" s="56">
        <v>14</v>
      </c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6"/>
    </row>
    <row r="4" spans="1:25" x14ac:dyDescent="0.3">
      <c r="A4" s="54" t="s">
        <v>47</v>
      </c>
      <c r="B4" s="55">
        <v>1</v>
      </c>
      <c r="C4" s="55">
        <v>3</v>
      </c>
      <c r="D4" s="55">
        <v>5</v>
      </c>
      <c r="E4" s="55">
        <v>7</v>
      </c>
      <c r="F4" s="55">
        <v>8</v>
      </c>
      <c r="G4" s="55">
        <v>9</v>
      </c>
      <c r="H4" s="55">
        <v>10</v>
      </c>
      <c r="I4" s="55">
        <v>11</v>
      </c>
      <c r="J4" s="55">
        <v>12</v>
      </c>
      <c r="K4" s="55">
        <v>13</v>
      </c>
      <c r="L4" s="56">
        <v>14</v>
      </c>
      <c r="N4" s="54" t="s">
        <v>63</v>
      </c>
      <c r="O4" s="55">
        <v>16</v>
      </c>
      <c r="P4" s="55">
        <v>17</v>
      </c>
      <c r="Q4" s="55">
        <v>18</v>
      </c>
      <c r="R4" s="55">
        <v>19</v>
      </c>
      <c r="S4" s="55">
        <v>20</v>
      </c>
      <c r="T4" s="55">
        <v>21</v>
      </c>
      <c r="U4" s="55">
        <v>22</v>
      </c>
      <c r="V4" s="55">
        <v>23</v>
      </c>
      <c r="W4" s="55">
        <v>24</v>
      </c>
      <c r="X4" s="55">
        <v>25</v>
      </c>
      <c r="Y4" s="56">
        <v>26</v>
      </c>
    </row>
    <row r="5" spans="1:25" x14ac:dyDescent="0.3">
      <c r="A5" s="54" t="s">
        <v>188</v>
      </c>
      <c r="B5" s="55">
        <v>2</v>
      </c>
      <c r="C5" s="55">
        <v>4</v>
      </c>
      <c r="D5" s="55">
        <v>6</v>
      </c>
      <c r="E5" s="55">
        <v>7</v>
      </c>
      <c r="F5" s="55">
        <v>8</v>
      </c>
      <c r="G5" s="55">
        <v>9</v>
      </c>
      <c r="H5" s="55">
        <v>10</v>
      </c>
      <c r="I5" s="55">
        <v>11</v>
      </c>
      <c r="J5" s="55">
        <v>12</v>
      </c>
      <c r="K5" s="55">
        <v>13</v>
      </c>
      <c r="L5" s="56">
        <v>14</v>
      </c>
      <c r="N5" s="54" t="s">
        <v>191</v>
      </c>
      <c r="O5" s="55">
        <v>17</v>
      </c>
      <c r="P5" s="55">
        <v>18</v>
      </c>
      <c r="Q5" s="55">
        <v>19</v>
      </c>
      <c r="R5" s="55">
        <v>20</v>
      </c>
      <c r="S5" s="55">
        <v>21</v>
      </c>
      <c r="T5" s="55">
        <v>22</v>
      </c>
      <c r="U5" s="55">
        <v>23</v>
      </c>
      <c r="V5" s="55">
        <v>24</v>
      </c>
      <c r="W5" s="55">
        <v>25</v>
      </c>
      <c r="X5" s="55">
        <v>26</v>
      </c>
      <c r="Y5" s="56">
        <v>27</v>
      </c>
    </row>
    <row r="6" spans="1:25" x14ac:dyDescent="0.3">
      <c r="A6" s="54" t="s">
        <v>182</v>
      </c>
      <c r="B6" s="55">
        <v>2</v>
      </c>
      <c r="C6" s="55">
        <v>5</v>
      </c>
      <c r="D6" s="55">
        <v>6</v>
      </c>
      <c r="E6" s="55">
        <v>7</v>
      </c>
      <c r="F6" s="55">
        <v>8</v>
      </c>
      <c r="G6" s="55">
        <v>9</v>
      </c>
      <c r="H6" s="55">
        <v>10</v>
      </c>
      <c r="I6" s="55">
        <v>11</v>
      </c>
      <c r="J6" s="55">
        <v>12</v>
      </c>
      <c r="K6" s="55">
        <v>13</v>
      </c>
      <c r="L6" s="56">
        <v>14</v>
      </c>
      <c r="N6" s="54" t="s">
        <v>62</v>
      </c>
      <c r="O6" s="55">
        <v>18</v>
      </c>
      <c r="P6" s="55">
        <v>19</v>
      </c>
      <c r="Q6" s="55">
        <v>20</v>
      </c>
      <c r="R6" s="55">
        <v>21</v>
      </c>
      <c r="S6" s="55">
        <v>22</v>
      </c>
      <c r="T6" s="55">
        <v>23</v>
      </c>
      <c r="U6" s="55">
        <v>24</v>
      </c>
      <c r="V6" s="55">
        <v>25</v>
      </c>
      <c r="W6" s="55">
        <v>26</v>
      </c>
      <c r="X6" s="55">
        <v>27</v>
      </c>
      <c r="Y6" s="56">
        <v>28</v>
      </c>
    </row>
    <row r="7" spans="1:25" x14ac:dyDescent="0.3">
      <c r="A7" s="54" t="s">
        <v>45</v>
      </c>
      <c r="B7" s="55">
        <v>3</v>
      </c>
      <c r="C7" s="55">
        <v>5</v>
      </c>
      <c r="D7" s="55">
        <v>7</v>
      </c>
      <c r="E7" s="55">
        <v>8</v>
      </c>
      <c r="F7" s="55">
        <v>9</v>
      </c>
      <c r="G7" s="55">
        <v>10</v>
      </c>
      <c r="H7" s="55">
        <v>11</v>
      </c>
      <c r="I7" s="55">
        <v>12</v>
      </c>
      <c r="J7" s="55">
        <v>13</v>
      </c>
      <c r="K7" s="55">
        <v>14</v>
      </c>
      <c r="L7" s="56">
        <v>14</v>
      </c>
      <c r="N7" s="54" t="s">
        <v>187</v>
      </c>
      <c r="O7" s="55">
        <v>19</v>
      </c>
      <c r="P7" s="55">
        <v>20</v>
      </c>
      <c r="Q7" s="55">
        <v>21</v>
      </c>
      <c r="R7" s="55">
        <v>22</v>
      </c>
      <c r="S7" s="55">
        <v>23</v>
      </c>
      <c r="T7" s="55">
        <v>24</v>
      </c>
      <c r="U7" s="55">
        <v>25</v>
      </c>
      <c r="V7" s="55">
        <v>26</v>
      </c>
      <c r="W7" s="55">
        <v>27</v>
      </c>
      <c r="X7" s="55">
        <v>28</v>
      </c>
      <c r="Y7" s="56">
        <v>29</v>
      </c>
    </row>
    <row r="8" spans="1:25" x14ac:dyDescent="0.3">
      <c r="A8" s="54" t="s">
        <v>181</v>
      </c>
      <c r="B8" s="55">
        <v>5</v>
      </c>
      <c r="C8" s="55">
        <v>6</v>
      </c>
      <c r="D8" s="55">
        <v>7</v>
      </c>
      <c r="E8" s="55">
        <v>8</v>
      </c>
      <c r="F8" s="55">
        <v>9</v>
      </c>
      <c r="G8" s="55">
        <v>10</v>
      </c>
      <c r="H8" s="55">
        <v>11</v>
      </c>
      <c r="I8" s="55">
        <v>12</v>
      </c>
      <c r="J8" s="55">
        <v>13</v>
      </c>
      <c r="K8" s="55">
        <v>14</v>
      </c>
      <c r="L8" s="56">
        <v>15</v>
      </c>
      <c r="N8" s="54" t="s">
        <v>61</v>
      </c>
      <c r="O8" s="55">
        <v>20</v>
      </c>
      <c r="P8" s="55">
        <v>21</v>
      </c>
      <c r="Q8" s="55">
        <v>22</v>
      </c>
      <c r="R8" s="55">
        <v>23</v>
      </c>
      <c r="S8" s="55">
        <v>24</v>
      </c>
      <c r="T8" s="55">
        <v>25</v>
      </c>
      <c r="U8" s="55">
        <v>26</v>
      </c>
      <c r="V8" s="55">
        <v>27</v>
      </c>
      <c r="W8" s="55">
        <v>28</v>
      </c>
      <c r="X8" s="55">
        <v>29</v>
      </c>
      <c r="Y8" s="56">
        <v>30</v>
      </c>
    </row>
    <row r="9" spans="1:25" x14ac:dyDescent="0.3">
      <c r="A9" s="54" t="s">
        <v>43</v>
      </c>
      <c r="B9" s="55">
        <v>6</v>
      </c>
      <c r="C9" s="55">
        <v>7</v>
      </c>
      <c r="D9" s="55">
        <v>8</v>
      </c>
      <c r="E9" s="55">
        <v>9</v>
      </c>
      <c r="F9" s="55">
        <v>10</v>
      </c>
      <c r="G9" s="55">
        <v>11</v>
      </c>
      <c r="H9" s="55">
        <v>12</v>
      </c>
      <c r="I9" s="55">
        <v>13</v>
      </c>
      <c r="J9" s="55">
        <v>14</v>
      </c>
      <c r="K9" s="55">
        <v>15</v>
      </c>
      <c r="L9" s="56">
        <v>16</v>
      </c>
      <c r="N9" s="54" t="s">
        <v>192</v>
      </c>
      <c r="O9" s="55">
        <v>21</v>
      </c>
      <c r="P9" s="55">
        <v>22</v>
      </c>
      <c r="Q9" s="55">
        <v>23</v>
      </c>
      <c r="R9" s="55">
        <v>24</v>
      </c>
      <c r="S9" s="55">
        <v>25</v>
      </c>
      <c r="T9" s="55">
        <v>26</v>
      </c>
      <c r="U9" s="55">
        <v>27</v>
      </c>
      <c r="V9" s="55">
        <v>28</v>
      </c>
      <c r="W9" s="55">
        <v>29</v>
      </c>
      <c r="X9" s="55">
        <v>30</v>
      </c>
      <c r="Y9" s="56">
        <v>31</v>
      </c>
    </row>
    <row r="10" spans="1:25" x14ac:dyDescent="0.3">
      <c r="A10" s="54" t="s">
        <v>183</v>
      </c>
      <c r="B10" s="55">
        <v>7</v>
      </c>
      <c r="C10" s="55">
        <v>8</v>
      </c>
      <c r="D10" s="55">
        <v>9</v>
      </c>
      <c r="E10" s="55">
        <v>10</v>
      </c>
      <c r="F10" s="55">
        <v>11</v>
      </c>
      <c r="G10" s="55">
        <v>12</v>
      </c>
      <c r="H10" s="55">
        <v>13</v>
      </c>
      <c r="I10" s="55">
        <v>14</v>
      </c>
      <c r="J10" s="55">
        <v>14</v>
      </c>
      <c r="K10" s="55">
        <v>15</v>
      </c>
      <c r="L10" s="56">
        <v>16</v>
      </c>
      <c r="N10" s="54" t="s">
        <v>60</v>
      </c>
      <c r="O10" s="55">
        <v>22</v>
      </c>
      <c r="P10" s="55">
        <v>23</v>
      </c>
      <c r="Q10" s="55">
        <v>24</v>
      </c>
      <c r="R10" s="55">
        <v>25</v>
      </c>
      <c r="S10" s="55">
        <v>26</v>
      </c>
      <c r="T10" s="55">
        <v>27</v>
      </c>
      <c r="U10" s="55">
        <v>28</v>
      </c>
      <c r="V10" s="55">
        <v>29</v>
      </c>
      <c r="W10" s="55">
        <v>30</v>
      </c>
      <c r="X10" s="55">
        <v>31</v>
      </c>
      <c r="Y10" s="56">
        <v>32</v>
      </c>
    </row>
    <row r="11" spans="1:25" x14ac:dyDescent="0.3">
      <c r="A11" s="54" t="s">
        <v>41</v>
      </c>
      <c r="B11" s="55">
        <v>7</v>
      </c>
      <c r="C11" s="55">
        <v>8</v>
      </c>
      <c r="D11" s="55">
        <v>9</v>
      </c>
      <c r="E11" s="55">
        <v>10</v>
      </c>
      <c r="F11" s="55">
        <v>11</v>
      </c>
      <c r="G11" s="55">
        <v>12</v>
      </c>
      <c r="H11" s="55">
        <v>13</v>
      </c>
      <c r="I11" s="55">
        <v>14</v>
      </c>
      <c r="J11" s="55">
        <v>15</v>
      </c>
      <c r="K11" s="55">
        <v>16</v>
      </c>
      <c r="L11" s="56">
        <v>17</v>
      </c>
      <c r="N11" s="54" t="s">
        <v>193</v>
      </c>
      <c r="O11" s="55">
        <v>23</v>
      </c>
      <c r="P11" s="55">
        <v>24</v>
      </c>
      <c r="Q11" s="55">
        <v>25</v>
      </c>
      <c r="R11" s="55">
        <v>26</v>
      </c>
      <c r="S11" s="55">
        <v>27</v>
      </c>
      <c r="T11" s="55">
        <v>28</v>
      </c>
      <c r="U11" s="55">
        <v>29</v>
      </c>
      <c r="V11" s="55">
        <v>30</v>
      </c>
      <c r="W11" s="55">
        <v>31</v>
      </c>
      <c r="X11" s="55">
        <v>32</v>
      </c>
      <c r="Y11" s="56">
        <v>33</v>
      </c>
    </row>
    <row r="12" spans="1:25" x14ac:dyDescent="0.3">
      <c r="A12" s="54" t="s">
        <v>184</v>
      </c>
      <c r="B12" s="55">
        <v>8</v>
      </c>
      <c r="C12" s="55">
        <v>9</v>
      </c>
      <c r="D12" s="55">
        <v>10</v>
      </c>
      <c r="E12" s="55">
        <v>11</v>
      </c>
      <c r="F12" s="55">
        <v>12</v>
      </c>
      <c r="G12" s="55">
        <v>13</v>
      </c>
      <c r="H12" s="55">
        <v>14</v>
      </c>
      <c r="I12" s="55">
        <v>15</v>
      </c>
      <c r="J12" s="55">
        <v>16</v>
      </c>
      <c r="K12" s="55">
        <v>17</v>
      </c>
      <c r="L12" s="56">
        <v>18</v>
      </c>
      <c r="N12" s="54" t="s">
        <v>59</v>
      </c>
      <c r="O12" s="55">
        <v>24</v>
      </c>
      <c r="P12" s="55">
        <v>25</v>
      </c>
      <c r="Q12" s="55">
        <v>26</v>
      </c>
      <c r="R12" s="55">
        <v>27</v>
      </c>
      <c r="S12" s="55">
        <v>28</v>
      </c>
      <c r="T12" s="55">
        <v>29</v>
      </c>
      <c r="U12" s="55">
        <v>30</v>
      </c>
      <c r="V12" s="55">
        <v>31</v>
      </c>
      <c r="W12" s="55">
        <v>32</v>
      </c>
      <c r="X12" s="55">
        <v>33</v>
      </c>
      <c r="Y12" s="56">
        <v>34</v>
      </c>
    </row>
    <row r="13" spans="1:25" x14ac:dyDescent="0.3">
      <c r="A13" s="54" t="s">
        <v>39</v>
      </c>
      <c r="B13" s="55">
        <v>8</v>
      </c>
      <c r="C13" s="55">
        <v>9</v>
      </c>
      <c r="D13" s="55">
        <v>10</v>
      </c>
      <c r="E13" s="55">
        <v>11</v>
      </c>
      <c r="F13" s="55">
        <v>12</v>
      </c>
      <c r="G13" s="55">
        <v>13</v>
      </c>
      <c r="H13" s="55">
        <v>14</v>
      </c>
      <c r="I13" s="55">
        <v>15</v>
      </c>
      <c r="J13" s="55">
        <v>16</v>
      </c>
      <c r="K13" s="55">
        <v>17</v>
      </c>
      <c r="L13" s="56">
        <v>18</v>
      </c>
      <c r="N13" s="54" t="s">
        <v>194</v>
      </c>
      <c r="O13" s="55">
        <v>25</v>
      </c>
      <c r="P13" s="55">
        <v>26</v>
      </c>
      <c r="Q13" s="55">
        <v>27</v>
      </c>
      <c r="R13" s="55">
        <v>28</v>
      </c>
      <c r="S13" s="55">
        <v>29</v>
      </c>
      <c r="T13" s="55">
        <v>30</v>
      </c>
      <c r="U13" s="55">
        <v>31</v>
      </c>
      <c r="V13" s="55">
        <v>32</v>
      </c>
      <c r="W13" s="55">
        <v>33</v>
      </c>
      <c r="X13" s="55">
        <v>34</v>
      </c>
      <c r="Y13" s="56">
        <v>35</v>
      </c>
    </row>
    <row r="14" spans="1:25" x14ac:dyDescent="0.3">
      <c r="A14" s="54" t="s">
        <v>67</v>
      </c>
      <c r="B14" s="55">
        <v>9</v>
      </c>
      <c r="C14" s="55">
        <v>10</v>
      </c>
      <c r="D14" s="55">
        <v>11</v>
      </c>
      <c r="E14" s="55">
        <v>12</v>
      </c>
      <c r="F14" s="55">
        <v>13</v>
      </c>
      <c r="G14" s="55">
        <v>14</v>
      </c>
      <c r="H14" s="55">
        <v>15</v>
      </c>
      <c r="I14" s="55">
        <v>16</v>
      </c>
      <c r="J14" s="55">
        <v>17</v>
      </c>
      <c r="K14" s="55">
        <v>18</v>
      </c>
      <c r="L14" s="56">
        <v>19</v>
      </c>
      <c r="N14" s="54" t="s">
        <v>58</v>
      </c>
      <c r="O14" s="55">
        <v>26</v>
      </c>
      <c r="P14" s="55">
        <v>27</v>
      </c>
      <c r="Q14" s="55">
        <v>28</v>
      </c>
      <c r="R14" s="55">
        <v>29</v>
      </c>
      <c r="S14" s="55">
        <v>30</v>
      </c>
      <c r="T14" s="55">
        <v>31</v>
      </c>
      <c r="U14" s="55">
        <v>32</v>
      </c>
      <c r="V14" s="55">
        <v>33</v>
      </c>
      <c r="W14" s="55">
        <v>34</v>
      </c>
      <c r="X14" s="55">
        <v>35</v>
      </c>
      <c r="Y14" s="56">
        <v>36</v>
      </c>
    </row>
    <row r="15" spans="1:25" x14ac:dyDescent="0.3">
      <c r="A15" s="54" t="s">
        <v>189</v>
      </c>
      <c r="B15" s="55">
        <v>10</v>
      </c>
      <c r="C15" s="55">
        <v>11</v>
      </c>
      <c r="D15" s="55">
        <v>12</v>
      </c>
      <c r="E15" s="55">
        <v>13</v>
      </c>
      <c r="F15" s="55">
        <v>14</v>
      </c>
      <c r="G15" s="55">
        <v>15</v>
      </c>
      <c r="H15" s="55">
        <v>16</v>
      </c>
      <c r="I15" s="55">
        <v>17</v>
      </c>
      <c r="J15" s="55">
        <v>18</v>
      </c>
      <c r="K15" s="55">
        <v>19</v>
      </c>
      <c r="L15" s="56">
        <v>20</v>
      </c>
      <c r="N15" s="54" t="s">
        <v>195</v>
      </c>
      <c r="O15" s="55">
        <v>27</v>
      </c>
      <c r="P15" s="55">
        <v>28</v>
      </c>
      <c r="Q15" s="55">
        <v>29</v>
      </c>
      <c r="R15" s="55">
        <v>30</v>
      </c>
      <c r="S15" s="55">
        <v>31</v>
      </c>
      <c r="T15" s="55">
        <v>32</v>
      </c>
      <c r="U15" s="55">
        <v>33</v>
      </c>
      <c r="V15" s="55">
        <v>34</v>
      </c>
      <c r="W15" s="55">
        <v>35</v>
      </c>
      <c r="X15" s="55">
        <v>36</v>
      </c>
      <c r="Y15" s="56">
        <v>37</v>
      </c>
    </row>
    <row r="16" spans="1:25" x14ac:dyDescent="0.3">
      <c r="A16" s="54" t="s">
        <v>66</v>
      </c>
      <c r="B16" s="55">
        <v>11</v>
      </c>
      <c r="C16" s="55">
        <v>12</v>
      </c>
      <c r="D16" s="55">
        <v>13</v>
      </c>
      <c r="E16" s="55">
        <v>14</v>
      </c>
      <c r="F16" s="55">
        <v>15</v>
      </c>
      <c r="G16" s="55">
        <v>16</v>
      </c>
      <c r="H16" s="55">
        <v>17</v>
      </c>
      <c r="I16" s="55">
        <v>18</v>
      </c>
      <c r="J16" s="55">
        <v>19</v>
      </c>
      <c r="K16" s="55">
        <v>20</v>
      </c>
      <c r="L16" s="56">
        <v>21</v>
      </c>
      <c r="N16" s="54" t="s">
        <v>196</v>
      </c>
      <c r="O16" s="55">
        <v>28</v>
      </c>
      <c r="P16" s="55">
        <v>29</v>
      </c>
      <c r="Q16" s="55">
        <v>30</v>
      </c>
      <c r="R16" s="55">
        <v>31</v>
      </c>
      <c r="S16" s="55">
        <v>32</v>
      </c>
      <c r="T16" s="55">
        <v>33</v>
      </c>
      <c r="U16" s="55">
        <v>34</v>
      </c>
      <c r="V16" s="55">
        <v>35</v>
      </c>
      <c r="W16" s="55">
        <v>36</v>
      </c>
      <c r="X16" s="55">
        <v>37</v>
      </c>
      <c r="Y16" s="56">
        <v>38</v>
      </c>
    </row>
    <row r="17" spans="1:25" x14ac:dyDescent="0.3">
      <c r="A17" s="54" t="s">
        <v>190</v>
      </c>
      <c r="B17" s="55">
        <v>12</v>
      </c>
      <c r="C17" s="55">
        <v>13</v>
      </c>
      <c r="D17" s="55">
        <v>14</v>
      </c>
      <c r="E17" s="55">
        <v>15</v>
      </c>
      <c r="F17" s="55">
        <v>16</v>
      </c>
      <c r="G17" s="55">
        <v>17</v>
      </c>
      <c r="H17" s="55">
        <v>18</v>
      </c>
      <c r="I17" s="55">
        <v>19</v>
      </c>
      <c r="J17" s="55">
        <v>20</v>
      </c>
      <c r="K17" s="55">
        <v>21</v>
      </c>
      <c r="L17" s="56">
        <v>22</v>
      </c>
      <c r="N17" s="54" t="s">
        <v>197</v>
      </c>
      <c r="O17" s="55">
        <v>29</v>
      </c>
      <c r="P17" s="55">
        <v>30</v>
      </c>
      <c r="Q17" s="55">
        <v>31</v>
      </c>
      <c r="R17" s="55">
        <v>32</v>
      </c>
      <c r="S17" s="55">
        <v>33</v>
      </c>
      <c r="T17" s="55">
        <v>34</v>
      </c>
      <c r="U17" s="55">
        <v>35</v>
      </c>
      <c r="V17" s="55">
        <v>36</v>
      </c>
      <c r="W17" s="55">
        <v>37</v>
      </c>
      <c r="X17" s="55">
        <v>38</v>
      </c>
      <c r="Y17" s="56">
        <v>39</v>
      </c>
    </row>
    <row r="18" spans="1:25" x14ac:dyDescent="0.3">
      <c r="A18" s="54" t="s">
        <v>65</v>
      </c>
      <c r="B18" s="55">
        <v>13</v>
      </c>
      <c r="C18" s="55">
        <v>14</v>
      </c>
      <c r="D18" s="55">
        <v>15</v>
      </c>
      <c r="E18" s="55">
        <v>16</v>
      </c>
      <c r="F18" s="55">
        <v>17</v>
      </c>
      <c r="G18" s="55">
        <v>18</v>
      </c>
      <c r="H18" s="55">
        <v>19</v>
      </c>
      <c r="I18" s="55">
        <v>20</v>
      </c>
      <c r="J18" s="55">
        <v>21</v>
      </c>
      <c r="K18" s="55">
        <v>22</v>
      </c>
      <c r="L18" s="56">
        <v>23</v>
      </c>
      <c r="N18" s="54" t="s">
        <v>198</v>
      </c>
      <c r="O18" s="55">
        <v>30</v>
      </c>
      <c r="P18" s="55">
        <v>31</v>
      </c>
      <c r="Q18" s="55">
        <v>32</v>
      </c>
      <c r="R18" s="55">
        <v>33</v>
      </c>
      <c r="S18" s="55">
        <v>34</v>
      </c>
      <c r="T18" s="55">
        <v>35</v>
      </c>
      <c r="U18" s="55">
        <v>36</v>
      </c>
      <c r="V18" s="55">
        <v>37</v>
      </c>
      <c r="W18" s="55">
        <v>38</v>
      </c>
      <c r="X18" s="55">
        <v>39</v>
      </c>
      <c r="Y18" s="56">
        <v>40</v>
      </c>
    </row>
    <row r="19" spans="1:25" x14ac:dyDescent="0.3">
      <c r="A19" s="54" t="s">
        <v>186</v>
      </c>
      <c r="B19" s="55">
        <v>14</v>
      </c>
      <c r="C19" s="55">
        <v>15</v>
      </c>
      <c r="D19" s="55">
        <v>16</v>
      </c>
      <c r="E19" s="55">
        <v>17</v>
      </c>
      <c r="F19" s="55">
        <v>18</v>
      </c>
      <c r="G19" s="55">
        <v>19</v>
      </c>
      <c r="H19" s="55">
        <v>20</v>
      </c>
      <c r="I19" s="55">
        <v>21</v>
      </c>
      <c r="J19" s="55">
        <v>22</v>
      </c>
      <c r="K19" s="55">
        <v>23</v>
      </c>
      <c r="L19" s="56">
        <v>24</v>
      </c>
      <c r="N19" s="54" t="s">
        <v>199</v>
      </c>
      <c r="O19" s="55">
        <v>31</v>
      </c>
      <c r="P19" s="55">
        <v>32</v>
      </c>
      <c r="Q19" s="55">
        <v>33</v>
      </c>
      <c r="R19" s="55">
        <v>34</v>
      </c>
      <c r="S19" s="55">
        <v>35</v>
      </c>
      <c r="T19" s="55">
        <v>36</v>
      </c>
      <c r="U19" s="55">
        <v>37</v>
      </c>
      <c r="V19" s="55">
        <v>38</v>
      </c>
      <c r="W19" s="55">
        <v>39</v>
      </c>
      <c r="X19" s="55">
        <v>40</v>
      </c>
      <c r="Y19" s="56">
        <v>41</v>
      </c>
    </row>
    <row r="20" spans="1:25" ht="15" thickBot="1" x14ac:dyDescent="0.35">
      <c r="A20" s="57" t="s">
        <v>64</v>
      </c>
      <c r="B20" s="58">
        <v>15</v>
      </c>
      <c r="C20" s="58">
        <v>16</v>
      </c>
      <c r="D20" s="58">
        <v>17</v>
      </c>
      <c r="E20" s="58">
        <v>18</v>
      </c>
      <c r="F20" s="58">
        <v>19</v>
      </c>
      <c r="G20" s="58">
        <v>20</v>
      </c>
      <c r="H20" s="58">
        <v>21</v>
      </c>
      <c r="I20" s="58">
        <v>22</v>
      </c>
      <c r="J20" s="58">
        <v>23</v>
      </c>
      <c r="K20" s="58">
        <v>24</v>
      </c>
      <c r="L20" s="59">
        <v>25</v>
      </c>
      <c r="N20" s="57" t="s">
        <v>200</v>
      </c>
      <c r="O20" s="58">
        <v>32</v>
      </c>
      <c r="P20" s="58">
        <v>33</v>
      </c>
      <c r="Q20" s="58">
        <v>34</v>
      </c>
      <c r="R20" s="58">
        <v>35</v>
      </c>
      <c r="S20" s="58">
        <v>36</v>
      </c>
      <c r="T20" s="58">
        <v>37</v>
      </c>
      <c r="U20" s="58">
        <v>38</v>
      </c>
      <c r="V20" s="58">
        <v>39</v>
      </c>
      <c r="W20" s="58">
        <v>40</v>
      </c>
      <c r="X20" s="58">
        <v>41</v>
      </c>
      <c r="Y20" s="59">
        <v>42</v>
      </c>
    </row>
  </sheetData>
  <mergeCells count="2">
    <mergeCell ref="N1:Y1"/>
    <mergeCell ref="A1:L1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7FA4-ED71-4639-8DFC-9BB038733E5C}">
  <dimension ref="A1:J16"/>
  <sheetViews>
    <sheetView tabSelected="1" workbookViewId="0">
      <selection activeCell="L5" sqref="L5"/>
    </sheetView>
  </sheetViews>
  <sheetFormatPr defaultRowHeight="14.4" x14ac:dyDescent="0.3"/>
  <sheetData>
    <row r="1" spans="1:10" x14ac:dyDescent="0.3">
      <c r="A1" s="83" t="s">
        <v>202</v>
      </c>
    </row>
    <row r="3" spans="1:10" ht="129.6" x14ac:dyDescent="0.3">
      <c r="A3" s="85" t="s">
        <v>203</v>
      </c>
      <c r="B3" s="85" t="s">
        <v>204</v>
      </c>
      <c r="C3" s="85" t="s">
        <v>205</v>
      </c>
      <c r="D3" s="85" t="s">
        <v>206</v>
      </c>
      <c r="E3" s="85" t="s">
        <v>207</v>
      </c>
      <c r="F3" s="85" t="s">
        <v>208</v>
      </c>
      <c r="G3" s="85" t="s">
        <v>209</v>
      </c>
      <c r="H3" s="85" t="s">
        <v>210</v>
      </c>
      <c r="I3" s="85" t="s">
        <v>211</v>
      </c>
      <c r="J3" s="85" t="s">
        <v>212</v>
      </c>
    </row>
    <row r="4" spans="1:10" x14ac:dyDescent="0.3">
      <c r="A4" s="84" t="s">
        <v>73</v>
      </c>
      <c r="B4" s="84">
        <v>10</v>
      </c>
      <c r="C4" s="84">
        <v>0.57999999999999996</v>
      </c>
      <c r="D4" s="84">
        <v>14.7</v>
      </c>
      <c r="E4" s="84">
        <v>0.49</v>
      </c>
      <c r="F4" s="84">
        <v>12.5</v>
      </c>
      <c r="G4" s="84">
        <v>23</v>
      </c>
      <c r="H4" s="84">
        <v>10.4</v>
      </c>
      <c r="I4" s="84">
        <v>36.6</v>
      </c>
      <c r="J4" s="84">
        <v>16.600000000000001</v>
      </c>
    </row>
    <row r="5" spans="1:10" x14ac:dyDescent="0.3">
      <c r="A5" s="84" t="s">
        <v>71</v>
      </c>
      <c r="B5" s="84">
        <v>16</v>
      </c>
      <c r="C5" s="84">
        <v>0.71</v>
      </c>
      <c r="D5" s="84">
        <v>17.899999999999999</v>
      </c>
      <c r="E5" s="84">
        <v>0.62</v>
      </c>
      <c r="F5" s="84">
        <v>15.8</v>
      </c>
      <c r="G5" s="84">
        <v>28.5</v>
      </c>
      <c r="H5" s="84">
        <v>12.9</v>
      </c>
      <c r="I5" s="84">
        <v>50.6</v>
      </c>
      <c r="J5" s="84">
        <v>23</v>
      </c>
    </row>
    <row r="6" spans="1:10" x14ac:dyDescent="0.3">
      <c r="A6" s="84" t="s">
        <v>69</v>
      </c>
      <c r="B6" s="84">
        <v>21</v>
      </c>
      <c r="C6" s="84">
        <v>0.99</v>
      </c>
      <c r="D6" s="84">
        <v>23.4</v>
      </c>
      <c r="E6" s="84">
        <v>0.82</v>
      </c>
      <c r="F6" s="84">
        <v>20.9</v>
      </c>
      <c r="G6" s="84">
        <v>43.5</v>
      </c>
      <c r="H6" s="84">
        <v>19.7</v>
      </c>
      <c r="I6" s="84">
        <v>84.3</v>
      </c>
      <c r="J6" s="84">
        <v>38.200000000000003</v>
      </c>
    </row>
    <row r="7" spans="1:10" x14ac:dyDescent="0.3">
      <c r="A7" s="84" t="s">
        <v>47</v>
      </c>
      <c r="B7" s="84">
        <v>27</v>
      </c>
      <c r="C7" s="84">
        <v>1.1599999999999999</v>
      </c>
      <c r="D7" s="84">
        <v>29.5</v>
      </c>
      <c r="E7" s="84">
        <v>1.05</v>
      </c>
      <c r="F7" s="84">
        <v>26.6</v>
      </c>
      <c r="G7" s="84">
        <v>64</v>
      </c>
      <c r="H7" s="84">
        <v>29</v>
      </c>
      <c r="I7" s="84">
        <v>130.30000000000001</v>
      </c>
      <c r="J7" s="84">
        <v>59.1</v>
      </c>
    </row>
    <row r="8" spans="1:10" x14ac:dyDescent="0.3">
      <c r="A8" s="84" t="s">
        <v>188</v>
      </c>
      <c r="B8" s="84">
        <v>35</v>
      </c>
      <c r="C8" s="84">
        <v>1.51</v>
      </c>
      <c r="D8" s="84">
        <v>38.4</v>
      </c>
      <c r="E8" s="84">
        <v>1.38</v>
      </c>
      <c r="F8" s="84">
        <v>35.1</v>
      </c>
      <c r="G8" s="84">
        <v>95</v>
      </c>
      <c r="H8" s="84">
        <v>43.1</v>
      </c>
      <c r="I8" s="84">
        <v>212.3</v>
      </c>
      <c r="J8" s="84">
        <v>96.3</v>
      </c>
    </row>
    <row r="9" spans="1:10" x14ac:dyDescent="0.3">
      <c r="A9" s="84" t="s">
        <v>182</v>
      </c>
      <c r="B9" s="84">
        <v>41</v>
      </c>
      <c r="C9" s="84">
        <v>1.74</v>
      </c>
      <c r="D9" s="84">
        <v>44.2</v>
      </c>
      <c r="E9" s="84">
        <v>1.61</v>
      </c>
      <c r="F9" s="84">
        <v>40.9</v>
      </c>
      <c r="G9" s="84">
        <v>110</v>
      </c>
      <c r="H9" s="84">
        <v>49.9</v>
      </c>
      <c r="I9" s="84">
        <v>269.8</v>
      </c>
      <c r="J9" s="84">
        <v>122.4</v>
      </c>
    </row>
    <row r="10" spans="1:10" x14ac:dyDescent="0.3">
      <c r="A10" s="84" t="s">
        <v>45</v>
      </c>
      <c r="B10" s="84">
        <v>53</v>
      </c>
      <c r="C10" s="84">
        <v>2.2000000000000002</v>
      </c>
      <c r="D10" s="84">
        <v>55.8</v>
      </c>
      <c r="E10" s="84">
        <v>2.0699999999999998</v>
      </c>
      <c r="F10" s="84">
        <v>52.5</v>
      </c>
      <c r="G10" s="84">
        <v>140</v>
      </c>
      <c r="H10" s="84">
        <v>63.5</v>
      </c>
      <c r="I10" s="84">
        <v>401.8</v>
      </c>
      <c r="J10" s="84">
        <v>182.3</v>
      </c>
    </row>
    <row r="11" spans="1:10" x14ac:dyDescent="0.3">
      <c r="A11" s="84" t="s">
        <v>181</v>
      </c>
      <c r="B11" s="84">
        <v>63</v>
      </c>
      <c r="C11" s="84">
        <v>2.88</v>
      </c>
      <c r="D11" s="84">
        <v>73</v>
      </c>
      <c r="E11" s="84">
        <v>2.73</v>
      </c>
      <c r="F11" s="84">
        <v>69.400000000000006</v>
      </c>
      <c r="G11" s="84">
        <v>205</v>
      </c>
      <c r="H11" s="84">
        <v>93</v>
      </c>
      <c r="I11" s="84">
        <v>579</v>
      </c>
      <c r="J11" s="84">
        <v>262.60000000000002</v>
      </c>
    </row>
    <row r="12" spans="1:10" x14ac:dyDescent="0.3">
      <c r="A12" s="84" t="s">
        <v>43</v>
      </c>
      <c r="B12" s="84">
        <v>78</v>
      </c>
      <c r="C12" s="84">
        <v>3.5</v>
      </c>
      <c r="D12" s="84">
        <v>88.9</v>
      </c>
      <c r="E12" s="84">
        <v>3.36</v>
      </c>
      <c r="F12" s="84">
        <v>85.2</v>
      </c>
      <c r="G12" s="84">
        <v>250</v>
      </c>
      <c r="H12" s="84">
        <v>113.4</v>
      </c>
      <c r="I12" s="84">
        <v>826.3</v>
      </c>
      <c r="J12" s="84">
        <v>374.8</v>
      </c>
    </row>
    <row r="13" spans="1:10" x14ac:dyDescent="0.3">
      <c r="A13" s="84" t="s">
        <v>183</v>
      </c>
      <c r="B13" s="84">
        <v>91</v>
      </c>
      <c r="C13" s="84">
        <v>4</v>
      </c>
      <c r="D13" s="84">
        <v>101.6</v>
      </c>
      <c r="E13" s="84">
        <v>3.83</v>
      </c>
      <c r="F13" s="84">
        <v>97.4</v>
      </c>
      <c r="G13" s="84">
        <v>325</v>
      </c>
      <c r="H13" s="84">
        <v>147.4</v>
      </c>
      <c r="I13" s="86">
        <v>1098</v>
      </c>
      <c r="J13" s="84">
        <v>498</v>
      </c>
    </row>
    <row r="14" spans="1:10" x14ac:dyDescent="0.3">
      <c r="A14" s="84" t="s">
        <v>41</v>
      </c>
      <c r="B14" s="84">
        <v>103</v>
      </c>
      <c r="C14" s="84">
        <v>4.5</v>
      </c>
      <c r="D14" s="84">
        <v>114.3</v>
      </c>
      <c r="E14" s="84">
        <v>4.33</v>
      </c>
      <c r="F14" s="84">
        <v>110.1</v>
      </c>
      <c r="G14" s="84">
        <v>370</v>
      </c>
      <c r="H14" s="84">
        <v>167.8</v>
      </c>
      <c r="I14" s="86">
        <v>1364</v>
      </c>
      <c r="J14" s="84">
        <v>618.70000000000005</v>
      </c>
    </row>
    <row r="16" spans="1:10" x14ac:dyDescent="0.3">
      <c r="A16" t="s">
        <v>213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N15"/>
  <sheetViews>
    <sheetView workbookViewId="0">
      <selection activeCell="D29" sqref="D29"/>
    </sheetView>
  </sheetViews>
  <sheetFormatPr defaultRowHeight="14.4" x14ac:dyDescent="0.3"/>
  <cols>
    <col min="1" max="1" width="18.109375" bestFit="1" customWidth="1"/>
    <col min="2" max="2" width="9.6640625" bestFit="1" customWidth="1"/>
    <col min="3" max="3" width="4.6640625" bestFit="1" customWidth="1"/>
    <col min="4" max="4" width="4.5546875" bestFit="1" customWidth="1"/>
    <col min="5" max="5" width="3" bestFit="1" customWidth="1"/>
    <col min="6" max="6" width="6.109375" bestFit="1" customWidth="1"/>
    <col min="7" max="7" width="4" bestFit="1" customWidth="1"/>
    <col min="8" max="8" width="6.109375" bestFit="1" customWidth="1"/>
    <col min="9" max="9" width="4" bestFit="1" customWidth="1"/>
    <col min="10" max="10" width="6.109375" bestFit="1" customWidth="1"/>
    <col min="11" max="12" width="4" bestFit="1" customWidth="1"/>
    <col min="13" max="13" width="6.109375" bestFit="1" customWidth="1"/>
    <col min="14" max="14" width="4" bestFit="1" customWidth="1"/>
  </cols>
  <sheetData>
    <row r="1" spans="1:14" x14ac:dyDescent="0.3">
      <c r="A1" s="79" t="s">
        <v>91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x14ac:dyDescent="0.3">
      <c r="A2" s="25" t="s">
        <v>90</v>
      </c>
      <c r="B2" s="25" t="s">
        <v>89</v>
      </c>
      <c r="C2" s="25" t="s">
        <v>71</v>
      </c>
      <c r="D2" s="25" t="s">
        <v>76</v>
      </c>
      <c r="E2" s="25" t="s">
        <v>47</v>
      </c>
      <c r="F2" s="25" t="s">
        <v>46</v>
      </c>
      <c r="G2" s="25" t="s">
        <v>45</v>
      </c>
      <c r="H2" s="25" t="s">
        <v>44</v>
      </c>
      <c r="I2" s="25" t="s">
        <v>43</v>
      </c>
      <c r="J2" s="25" t="s">
        <v>42</v>
      </c>
      <c r="K2" s="25" t="s">
        <v>41</v>
      </c>
      <c r="L2" s="25" t="s">
        <v>39</v>
      </c>
      <c r="M2" s="25" t="s">
        <v>74</v>
      </c>
      <c r="N2" s="25" t="s">
        <v>67</v>
      </c>
    </row>
    <row r="3" spans="1:14" x14ac:dyDescent="0.3">
      <c r="A3" s="25" t="s">
        <v>73</v>
      </c>
      <c r="B3" s="25" t="s">
        <v>71</v>
      </c>
      <c r="C3" s="25"/>
      <c r="D3" s="25"/>
      <c r="E3" s="25" t="s">
        <v>8</v>
      </c>
      <c r="F3" s="25" t="s">
        <v>12</v>
      </c>
      <c r="G3" s="25" t="s">
        <v>14</v>
      </c>
      <c r="H3" s="25" t="s">
        <v>16</v>
      </c>
      <c r="I3" s="25" t="s">
        <v>18</v>
      </c>
      <c r="J3" s="25"/>
      <c r="K3" s="25"/>
      <c r="L3" s="25"/>
      <c r="M3" s="25"/>
      <c r="N3" s="25"/>
    </row>
    <row r="4" spans="1:14" x14ac:dyDescent="0.3">
      <c r="A4" s="25" t="s">
        <v>71</v>
      </c>
      <c r="B4" s="25" t="s">
        <v>88</v>
      </c>
      <c r="C4" s="25">
        <v>2</v>
      </c>
      <c r="D4" s="25">
        <v>3</v>
      </c>
      <c r="E4" s="25">
        <v>7</v>
      </c>
      <c r="F4" s="25">
        <v>9</v>
      </c>
      <c r="G4" s="25">
        <v>11</v>
      </c>
      <c r="H4" s="25">
        <v>13</v>
      </c>
      <c r="I4" s="25">
        <v>15</v>
      </c>
      <c r="J4" s="25"/>
      <c r="K4" s="25"/>
      <c r="L4" s="25"/>
      <c r="M4" s="25"/>
      <c r="N4" s="25"/>
    </row>
    <row r="5" spans="1:14" x14ac:dyDescent="0.3">
      <c r="A5" s="25" t="s">
        <v>69</v>
      </c>
      <c r="B5" s="25" t="s">
        <v>87</v>
      </c>
      <c r="C5" s="25">
        <v>3</v>
      </c>
      <c r="D5" s="25">
        <v>3</v>
      </c>
      <c r="E5" s="25">
        <v>7</v>
      </c>
      <c r="F5" s="25">
        <v>10</v>
      </c>
      <c r="G5" s="25">
        <v>12</v>
      </c>
      <c r="H5" s="25">
        <v>15</v>
      </c>
      <c r="I5" s="25">
        <v>17</v>
      </c>
      <c r="J5" s="25">
        <v>18</v>
      </c>
      <c r="K5" s="25" t="s">
        <v>22</v>
      </c>
      <c r="L5" s="25"/>
      <c r="M5" s="25"/>
      <c r="N5" s="25"/>
    </row>
    <row r="6" spans="1:14" x14ac:dyDescent="0.3">
      <c r="A6" s="25" t="s">
        <v>47</v>
      </c>
      <c r="B6" s="26" t="s">
        <v>86</v>
      </c>
      <c r="C6" s="25">
        <v>4</v>
      </c>
      <c r="D6" s="25">
        <v>5</v>
      </c>
      <c r="E6" s="25">
        <v>7</v>
      </c>
      <c r="F6" s="25">
        <v>10</v>
      </c>
      <c r="G6" s="25">
        <v>12</v>
      </c>
      <c r="H6" s="25">
        <v>15</v>
      </c>
      <c r="I6" s="25">
        <v>17</v>
      </c>
      <c r="J6" s="25">
        <v>18</v>
      </c>
      <c r="K6" s="25">
        <v>19</v>
      </c>
      <c r="L6" s="25"/>
      <c r="M6" s="25"/>
      <c r="N6" s="25"/>
    </row>
    <row r="7" spans="1:14" x14ac:dyDescent="0.3">
      <c r="A7" s="25" t="s">
        <v>68</v>
      </c>
      <c r="B7" s="25" t="s">
        <v>85</v>
      </c>
      <c r="C7" s="25">
        <v>5</v>
      </c>
      <c r="D7" s="25">
        <v>5</v>
      </c>
      <c r="E7" s="25">
        <v>9</v>
      </c>
      <c r="F7" s="25">
        <v>11</v>
      </c>
      <c r="G7" s="25">
        <v>13</v>
      </c>
      <c r="H7" s="25">
        <v>15</v>
      </c>
      <c r="I7" s="25">
        <v>17</v>
      </c>
      <c r="J7" s="25">
        <v>18</v>
      </c>
      <c r="K7" s="25">
        <v>19</v>
      </c>
      <c r="L7" s="25"/>
      <c r="M7" s="25"/>
      <c r="N7" s="25"/>
    </row>
    <row r="8" spans="1:14" x14ac:dyDescent="0.3">
      <c r="A8" s="25" t="s">
        <v>46</v>
      </c>
      <c r="B8" s="25" t="s">
        <v>84</v>
      </c>
      <c r="C8" s="25">
        <v>6</v>
      </c>
      <c r="D8" s="25">
        <v>7</v>
      </c>
      <c r="E8" s="25">
        <v>9</v>
      </c>
      <c r="F8" s="25">
        <v>12</v>
      </c>
      <c r="G8" s="25">
        <v>13</v>
      </c>
      <c r="H8" s="25">
        <v>15</v>
      </c>
      <c r="I8" s="25">
        <v>17</v>
      </c>
      <c r="J8" s="25">
        <v>18</v>
      </c>
      <c r="K8" s="25">
        <v>19</v>
      </c>
      <c r="L8" s="25"/>
      <c r="M8" s="25"/>
      <c r="N8" s="25"/>
    </row>
    <row r="9" spans="1:14" x14ac:dyDescent="0.3">
      <c r="A9" s="25" t="s">
        <v>45</v>
      </c>
      <c r="B9" s="25" t="s">
        <v>83</v>
      </c>
      <c r="C9" s="25">
        <v>8</v>
      </c>
      <c r="D9" s="25">
        <v>9</v>
      </c>
      <c r="E9" s="25">
        <v>10</v>
      </c>
      <c r="F9" s="25">
        <v>12</v>
      </c>
      <c r="G9" s="25">
        <v>15</v>
      </c>
      <c r="H9" s="25">
        <v>17</v>
      </c>
      <c r="I9" s="25">
        <v>18</v>
      </c>
      <c r="J9" s="25">
        <v>19</v>
      </c>
      <c r="K9" s="25">
        <v>20</v>
      </c>
      <c r="L9" s="25" t="s">
        <v>25</v>
      </c>
      <c r="M9" s="25" t="s">
        <v>26</v>
      </c>
      <c r="N9" s="25" t="s">
        <v>26</v>
      </c>
    </row>
    <row r="10" spans="1:14" x14ac:dyDescent="0.3">
      <c r="A10" s="25" t="s">
        <v>44</v>
      </c>
      <c r="B10" s="25" t="s">
        <v>82</v>
      </c>
      <c r="C10" s="25">
        <v>9</v>
      </c>
      <c r="D10" s="25">
        <v>10</v>
      </c>
      <c r="E10" s="25">
        <v>11</v>
      </c>
      <c r="F10" s="25">
        <v>13</v>
      </c>
      <c r="G10" s="25">
        <v>15</v>
      </c>
      <c r="H10" s="25">
        <v>17</v>
      </c>
      <c r="I10" s="25">
        <v>18</v>
      </c>
      <c r="J10" s="25">
        <v>19</v>
      </c>
      <c r="K10" s="25">
        <v>20</v>
      </c>
      <c r="L10" s="25">
        <v>22</v>
      </c>
      <c r="M10" s="25">
        <v>23</v>
      </c>
      <c r="N10" s="25">
        <v>24</v>
      </c>
    </row>
    <row r="11" spans="1:14" x14ac:dyDescent="0.3">
      <c r="A11" s="25" t="s">
        <v>43</v>
      </c>
      <c r="B11" s="25" t="s">
        <v>81</v>
      </c>
      <c r="C11" s="25">
        <v>10</v>
      </c>
      <c r="D11" s="25">
        <v>11</v>
      </c>
      <c r="E11" s="25">
        <v>12</v>
      </c>
      <c r="F11" s="25">
        <v>15</v>
      </c>
      <c r="G11" s="25">
        <v>17</v>
      </c>
      <c r="H11" s="25">
        <v>18</v>
      </c>
      <c r="I11" s="25">
        <v>19</v>
      </c>
      <c r="J11" s="25">
        <v>20</v>
      </c>
      <c r="K11" s="25">
        <v>21</v>
      </c>
      <c r="L11" s="25">
        <v>23</v>
      </c>
      <c r="M11" s="25">
        <v>24</v>
      </c>
      <c r="N11" s="25">
        <v>25</v>
      </c>
    </row>
    <row r="12" spans="1:14" x14ac:dyDescent="0.3">
      <c r="A12" s="25" t="s">
        <v>42</v>
      </c>
      <c r="B12" s="25" t="s">
        <v>80</v>
      </c>
      <c r="C12" s="25">
        <v>11</v>
      </c>
      <c r="D12" s="25">
        <v>11</v>
      </c>
      <c r="E12" s="25">
        <v>13</v>
      </c>
      <c r="F12" s="25">
        <v>15</v>
      </c>
      <c r="G12" s="25">
        <v>17</v>
      </c>
      <c r="H12" s="25">
        <v>18</v>
      </c>
      <c r="I12" s="25">
        <v>19</v>
      </c>
      <c r="J12" s="25">
        <v>20</v>
      </c>
      <c r="K12" s="25">
        <v>21</v>
      </c>
      <c r="L12" s="25">
        <v>23</v>
      </c>
      <c r="M12" s="25">
        <v>24</v>
      </c>
      <c r="N12" s="25">
        <v>25</v>
      </c>
    </row>
    <row r="13" spans="1:14" x14ac:dyDescent="0.3">
      <c r="A13" s="25" t="s">
        <v>41</v>
      </c>
      <c r="B13" s="25" t="s">
        <v>79</v>
      </c>
      <c r="C13" s="25">
        <v>12</v>
      </c>
      <c r="D13" s="25">
        <v>13</v>
      </c>
      <c r="E13" s="25">
        <v>15</v>
      </c>
      <c r="F13" s="25">
        <v>17</v>
      </c>
      <c r="G13" s="25">
        <v>18</v>
      </c>
      <c r="H13" s="25">
        <v>19</v>
      </c>
      <c r="I13" s="25">
        <v>20</v>
      </c>
      <c r="J13" s="25">
        <v>21</v>
      </c>
      <c r="K13" s="25">
        <v>22</v>
      </c>
      <c r="L13" s="25">
        <v>24</v>
      </c>
      <c r="M13" s="25">
        <v>25</v>
      </c>
      <c r="N13" s="25">
        <v>26</v>
      </c>
    </row>
    <row r="14" spans="1:14" x14ac:dyDescent="0.3">
      <c r="A14" s="25" t="s">
        <v>39</v>
      </c>
      <c r="B14" s="25" t="s">
        <v>78</v>
      </c>
      <c r="C14" s="25">
        <v>14</v>
      </c>
      <c r="D14" s="25">
        <v>15</v>
      </c>
      <c r="E14" s="25">
        <v>17</v>
      </c>
      <c r="F14" s="25">
        <v>18</v>
      </c>
      <c r="G14" s="25">
        <v>19</v>
      </c>
      <c r="H14" s="25">
        <v>20</v>
      </c>
      <c r="I14" s="25">
        <v>21</v>
      </c>
      <c r="J14" s="25">
        <v>22</v>
      </c>
      <c r="K14" s="25">
        <v>23</v>
      </c>
      <c r="L14" s="25">
        <v>25</v>
      </c>
      <c r="M14" s="25">
        <v>26</v>
      </c>
      <c r="N14" s="25">
        <v>27</v>
      </c>
    </row>
    <row r="15" spans="1:14" x14ac:dyDescent="0.3">
      <c r="A15" s="25" t="s">
        <v>67</v>
      </c>
      <c r="B15" s="25" t="s">
        <v>77</v>
      </c>
      <c r="C15" s="25">
        <v>16</v>
      </c>
      <c r="D15" s="25">
        <v>17</v>
      </c>
      <c r="E15" s="25">
        <v>18</v>
      </c>
      <c r="F15" s="25">
        <v>19</v>
      </c>
      <c r="G15" s="25">
        <v>20</v>
      </c>
      <c r="H15" s="25">
        <v>21</v>
      </c>
      <c r="I15" s="25">
        <v>22</v>
      </c>
      <c r="J15" s="25">
        <v>23</v>
      </c>
      <c r="K15" s="25">
        <v>24</v>
      </c>
      <c r="L15" s="25">
        <v>26</v>
      </c>
      <c r="M15" s="25">
        <v>27</v>
      </c>
      <c r="N15" s="25">
        <v>28</v>
      </c>
    </row>
  </sheetData>
  <mergeCells count="1">
    <mergeCell ref="A1:N1"/>
  </mergeCells>
  <pageMargins left="0.7" right="0.7" top="0.75" bottom="0.75" header="0.3" footer="0.3"/>
  <pageSetup paperSize="134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30"/>
  <sheetViews>
    <sheetView workbookViewId="0">
      <selection activeCell="J2" sqref="J2:Q30"/>
    </sheetView>
  </sheetViews>
  <sheetFormatPr defaultRowHeight="14.4" x14ac:dyDescent="0.3"/>
  <sheetData>
    <row r="1" spans="1:17" x14ac:dyDescent="0.3">
      <c r="A1" s="80" t="s">
        <v>96</v>
      </c>
      <c r="B1" s="80"/>
      <c r="C1" s="80"/>
      <c r="D1" s="80"/>
      <c r="E1" s="80"/>
      <c r="F1" s="80"/>
      <c r="G1" s="80"/>
      <c r="H1" s="80"/>
      <c r="J1" s="80" t="s">
        <v>95</v>
      </c>
      <c r="K1" s="80"/>
      <c r="L1" s="80"/>
      <c r="M1" s="80"/>
      <c r="N1" s="80"/>
      <c r="O1" s="80"/>
      <c r="P1" s="80"/>
      <c r="Q1" s="80"/>
    </row>
    <row r="2" spans="1:17" x14ac:dyDescent="0.3">
      <c r="A2" t="s">
        <v>55</v>
      </c>
      <c r="B2" s="80" t="s">
        <v>54</v>
      </c>
      <c r="C2" s="80"/>
      <c r="D2" s="80"/>
      <c r="E2" s="80"/>
      <c r="F2" s="80"/>
      <c r="G2" s="80"/>
      <c r="H2" s="80"/>
      <c r="J2" t="s">
        <v>55</v>
      </c>
      <c r="K2" s="80" t="s">
        <v>54</v>
      </c>
      <c r="L2" s="80"/>
      <c r="M2" s="80"/>
      <c r="N2" s="80"/>
      <c r="O2" s="80"/>
      <c r="P2" s="80"/>
      <c r="Q2" s="80"/>
    </row>
    <row r="3" spans="1:17" x14ac:dyDescent="0.3">
      <c r="A3" t="s">
        <v>94</v>
      </c>
      <c r="B3">
        <v>25</v>
      </c>
      <c r="C3">
        <v>38</v>
      </c>
      <c r="D3">
        <v>51</v>
      </c>
      <c r="E3">
        <v>64</v>
      </c>
      <c r="F3">
        <v>76</v>
      </c>
      <c r="G3">
        <v>89</v>
      </c>
      <c r="H3">
        <v>102</v>
      </c>
      <c r="J3" t="s">
        <v>94</v>
      </c>
      <c r="K3">
        <v>25</v>
      </c>
      <c r="L3">
        <v>38</v>
      </c>
      <c r="M3">
        <v>51</v>
      </c>
      <c r="N3">
        <v>64</v>
      </c>
      <c r="O3">
        <v>76</v>
      </c>
      <c r="P3">
        <v>89</v>
      </c>
      <c r="Q3">
        <v>102</v>
      </c>
    </row>
    <row r="4" spans="1:17" x14ac:dyDescent="0.3">
      <c r="A4" t="s">
        <v>93</v>
      </c>
      <c r="B4">
        <v>1</v>
      </c>
      <c r="C4">
        <v>1.5</v>
      </c>
      <c r="D4">
        <v>2</v>
      </c>
      <c r="E4">
        <v>2.5</v>
      </c>
      <c r="F4">
        <v>3</v>
      </c>
      <c r="G4">
        <v>3.25</v>
      </c>
      <c r="H4">
        <v>4</v>
      </c>
      <c r="J4" t="s">
        <v>93</v>
      </c>
      <c r="K4">
        <v>1</v>
      </c>
      <c r="L4">
        <v>1.5</v>
      </c>
      <c r="M4">
        <v>2</v>
      </c>
      <c r="N4">
        <v>2.5</v>
      </c>
      <c r="O4">
        <v>3</v>
      </c>
      <c r="P4">
        <v>3.25</v>
      </c>
      <c r="Q4">
        <v>4</v>
      </c>
    </row>
    <row r="5" spans="1:17" x14ac:dyDescent="0.3">
      <c r="A5">
        <v>0.5</v>
      </c>
      <c r="B5">
        <v>2</v>
      </c>
      <c r="C5">
        <v>5</v>
      </c>
      <c r="D5">
        <v>8</v>
      </c>
      <c r="E5">
        <v>12</v>
      </c>
      <c r="F5">
        <v>23</v>
      </c>
      <c r="G5">
        <v>15</v>
      </c>
      <c r="H5">
        <v>25</v>
      </c>
      <c r="J5">
        <v>0.5</v>
      </c>
      <c r="K5">
        <v>1</v>
      </c>
      <c r="L5">
        <v>3</v>
      </c>
      <c r="M5">
        <v>5</v>
      </c>
      <c r="N5">
        <v>7</v>
      </c>
      <c r="O5">
        <v>8</v>
      </c>
      <c r="P5">
        <v>9</v>
      </c>
      <c r="Q5">
        <v>10</v>
      </c>
    </row>
    <row r="6" spans="1:17" x14ac:dyDescent="0.3">
      <c r="A6">
        <v>0.75</v>
      </c>
      <c r="B6">
        <v>2</v>
      </c>
      <c r="C6">
        <v>5</v>
      </c>
      <c r="D6">
        <v>8</v>
      </c>
      <c r="E6">
        <v>12</v>
      </c>
      <c r="F6">
        <v>23</v>
      </c>
      <c r="G6">
        <v>15</v>
      </c>
      <c r="H6">
        <v>25</v>
      </c>
      <c r="J6">
        <v>0.75</v>
      </c>
      <c r="K6">
        <v>1</v>
      </c>
      <c r="L6">
        <v>3</v>
      </c>
      <c r="M6">
        <v>5</v>
      </c>
      <c r="N6">
        <v>7</v>
      </c>
      <c r="O6">
        <v>8</v>
      </c>
      <c r="P6">
        <v>9</v>
      </c>
      <c r="Q6">
        <v>10</v>
      </c>
    </row>
    <row r="7" spans="1:17" x14ac:dyDescent="0.3">
      <c r="A7">
        <v>1</v>
      </c>
      <c r="B7">
        <v>3</v>
      </c>
      <c r="C7">
        <v>6</v>
      </c>
      <c r="D7">
        <v>11</v>
      </c>
      <c r="E7">
        <v>12</v>
      </c>
      <c r="F7">
        <v>23</v>
      </c>
      <c r="G7">
        <v>15</v>
      </c>
      <c r="H7">
        <v>25</v>
      </c>
      <c r="J7">
        <v>1</v>
      </c>
      <c r="K7">
        <v>2</v>
      </c>
      <c r="L7">
        <v>4</v>
      </c>
      <c r="M7">
        <v>6</v>
      </c>
      <c r="N7">
        <v>7</v>
      </c>
      <c r="O7">
        <v>8</v>
      </c>
      <c r="P7">
        <v>9</v>
      </c>
      <c r="Q7">
        <v>10</v>
      </c>
    </row>
    <row r="8" spans="1:17" x14ac:dyDescent="0.3">
      <c r="A8">
        <v>1.25</v>
      </c>
      <c r="B8">
        <v>3</v>
      </c>
      <c r="C8">
        <v>9</v>
      </c>
      <c r="D8">
        <v>11</v>
      </c>
      <c r="E8">
        <v>18</v>
      </c>
      <c r="F8">
        <v>23</v>
      </c>
      <c r="G8">
        <v>15</v>
      </c>
      <c r="H8">
        <v>25</v>
      </c>
      <c r="J8">
        <v>1.25</v>
      </c>
      <c r="K8">
        <v>2</v>
      </c>
      <c r="L8">
        <v>5</v>
      </c>
      <c r="M8">
        <v>6</v>
      </c>
      <c r="N8">
        <v>7</v>
      </c>
      <c r="O8">
        <v>8</v>
      </c>
      <c r="P8">
        <v>9</v>
      </c>
      <c r="Q8">
        <v>10</v>
      </c>
    </row>
    <row r="9" spans="1:17" x14ac:dyDescent="0.3">
      <c r="A9">
        <v>1.5</v>
      </c>
      <c r="B9">
        <v>4</v>
      </c>
      <c r="C9">
        <v>9</v>
      </c>
      <c r="D9">
        <v>18</v>
      </c>
      <c r="E9">
        <v>23</v>
      </c>
      <c r="F9">
        <v>15</v>
      </c>
      <c r="G9">
        <v>25</v>
      </c>
      <c r="H9">
        <v>26</v>
      </c>
      <c r="J9">
        <v>1.5</v>
      </c>
      <c r="K9">
        <v>3</v>
      </c>
      <c r="L9">
        <v>5</v>
      </c>
      <c r="M9">
        <v>7</v>
      </c>
      <c r="N9">
        <v>8</v>
      </c>
      <c r="O9">
        <v>9</v>
      </c>
      <c r="P9">
        <v>10</v>
      </c>
      <c r="Q9">
        <v>11</v>
      </c>
    </row>
    <row r="10" spans="1:17" x14ac:dyDescent="0.3">
      <c r="A10">
        <v>2</v>
      </c>
      <c r="B10">
        <v>7</v>
      </c>
      <c r="C10">
        <v>10</v>
      </c>
      <c r="D10">
        <v>18</v>
      </c>
      <c r="E10">
        <v>20</v>
      </c>
      <c r="F10">
        <v>24</v>
      </c>
      <c r="G10">
        <v>25</v>
      </c>
      <c r="H10">
        <v>26</v>
      </c>
      <c r="J10">
        <v>2</v>
      </c>
      <c r="K10">
        <v>4</v>
      </c>
      <c r="L10">
        <v>6</v>
      </c>
      <c r="M10">
        <v>7</v>
      </c>
      <c r="N10">
        <v>8</v>
      </c>
      <c r="O10">
        <v>9</v>
      </c>
      <c r="P10">
        <v>10</v>
      </c>
      <c r="Q10">
        <v>11</v>
      </c>
    </row>
    <row r="11" spans="1:17" x14ac:dyDescent="0.3">
      <c r="A11">
        <v>2.5</v>
      </c>
      <c r="B11">
        <v>13</v>
      </c>
      <c r="C11">
        <v>16</v>
      </c>
      <c r="D11">
        <v>20</v>
      </c>
      <c r="E11">
        <v>24</v>
      </c>
      <c r="F11">
        <v>25</v>
      </c>
      <c r="G11">
        <v>26</v>
      </c>
      <c r="H11">
        <v>31</v>
      </c>
      <c r="J11">
        <v>2.5</v>
      </c>
      <c r="K11">
        <v>5</v>
      </c>
      <c r="L11">
        <v>7</v>
      </c>
      <c r="M11">
        <v>8</v>
      </c>
      <c r="N11">
        <v>9</v>
      </c>
      <c r="O11">
        <v>10</v>
      </c>
      <c r="P11">
        <v>11</v>
      </c>
      <c r="Q11">
        <v>12</v>
      </c>
    </row>
    <row r="12" spans="1:17" x14ac:dyDescent="0.3">
      <c r="A12">
        <v>3</v>
      </c>
      <c r="B12">
        <v>14</v>
      </c>
      <c r="C12">
        <v>19</v>
      </c>
      <c r="D12">
        <v>22</v>
      </c>
      <c r="E12">
        <v>24</v>
      </c>
      <c r="F12">
        <v>25</v>
      </c>
      <c r="G12">
        <v>26</v>
      </c>
      <c r="H12">
        <v>31</v>
      </c>
      <c r="J12">
        <v>3</v>
      </c>
      <c r="K12">
        <v>6</v>
      </c>
      <c r="L12">
        <v>7</v>
      </c>
      <c r="M12">
        <v>8</v>
      </c>
      <c r="N12">
        <v>9</v>
      </c>
      <c r="O12">
        <v>10</v>
      </c>
      <c r="P12">
        <v>11</v>
      </c>
      <c r="Q12">
        <v>12</v>
      </c>
    </row>
    <row r="13" spans="1:17" x14ac:dyDescent="0.3">
      <c r="A13">
        <v>3.5</v>
      </c>
      <c r="B13">
        <v>17</v>
      </c>
      <c r="C13">
        <v>21</v>
      </c>
      <c r="D13">
        <v>27</v>
      </c>
      <c r="E13">
        <v>30</v>
      </c>
      <c r="F13">
        <v>33</v>
      </c>
      <c r="G13">
        <v>31</v>
      </c>
      <c r="H13">
        <v>34</v>
      </c>
      <c r="J13">
        <v>3.5</v>
      </c>
      <c r="K13">
        <v>7</v>
      </c>
      <c r="L13">
        <v>8</v>
      </c>
      <c r="M13">
        <v>9</v>
      </c>
      <c r="N13">
        <v>10</v>
      </c>
      <c r="O13">
        <v>11</v>
      </c>
      <c r="P13">
        <v>12</v>
      </c>
      <c r="Q13">
        <v>13</v>
      </c>
    </row>
    <row r="14" spans="1:17" x14ac:dyDescent="0.3">
      <c r="A14">
        <v>4</v>
      </c>
      <c r="B14">
        <v>17</v>
      </c>
      <c r="C14">
        <v>21</v>
      </c>
      <c r="D14">
        <v>27</v>
      </c>
      <c r="E14">
        <v>30</v>
      </c>
      <c r="F14">
        <v>33</v>
      </c>
      <c r="G14">
        <v>31</v>
      </c>
      <c r="H14">
        <v>34</v>
      </c>
      <c r="J14">
        <v>4</v>
      </c>
      <c r="K14">
        <v>7</v>
      </c>
      <c r="L14">
        <v>8</v>
      </c>
      <c r="M14">
        <v>9</v>
      </c>
      <c r="N14">
        <v>10</v>
      </c>
      <c r="O14">
        <v>11</v>
      </c>
      <c r="P14">
        <v>12</v>
      </c>
      <c r="Q14">
        <v>13</v>
      </c>
    </row>
    <row r="15" spans="1:17" x14ac:dyDescent="0.3">
      <c r="A15">
        <v>4.5</v>
      </c>
      <c r="B15">
        <v>28</v>
      </c>
      <c r="C15">
        <v>27</v>
      </c>
      <c r="D15">
        <v>30</v>
      </c>
      <c r="E15">
        <v>33</v>
      </c>
      <c r="F15">
        <v>31</v>
      </c>
      <c r="G15">
        <v>34</v>
      </c>
      <c r="H15">
        <v>40</v>
      </c>
      <c r="J15">
        <v>4.5</v>
      </c>
      <c r="K15">
        <v>8</v>
      </c>
      <c r="L15">
        <v>9</v>
      </c>
      <c r="M15">
        <v>10</v>
      </c>
      <c r="N15">
        <v>11</v>
      </c>
      <c r="O15">
        <v>12</v>
      </c>
      <c r="P15">
        <v>13</v>
      </c>
      <c r="Q15">
        <v>14</v>
      </c>
    </row>
    <row r="16" spans="1:17" x14ac:dyDescent="0.3">
      <c r="A16">
        <v>5</v>
      </c>
      <c r="B16">
        <v>28</v>
      </c>
      <c r="C16">
        <v>29</v>
      </c>
      <c r="D16">
        <v>36</v>
      </c>
      <c r="E16">
        <v>38</v>
      </c>
      <c r="F16">
        <v>39</v>
      </c>
      <c r="G16">
        <v>34</v>
      </c>
      <c r="H16">
        <v>40</v>
      </c>
      <c r="J16">
        <v>5</v>
      </c>
      <c r="K16">
        <v>8</v>
      </c>
      <c r="L16">
        <v>9</v>
      </c>
      <c r="M16">
        <v>10</v>
      </c>
      <c r="N16">
        <v>11</v>
      </c>
      <c r="O16">
        <v>12</v>
      </c>
      <c r="P16">
        <v>13</v>
      </c>
      <c r="Q16">
        <v>14</v>
      </c>
    </row>
    <row r="17" spans="1:17" x14ac:dyDescent="0.3">
      <c r="A17">
        <v>6</v>
      </c>
      <c r="B17">
        <v>32</v>
      </c>
      <c r="C17">
        <v>35</v>
      </c>
      <c r="D17">
        <v>37</v>
      </c>
      <c r="E17">
        <v>39</v>
      </c>
      <c r="F17">
        <v>44</v>
      </c>
      <c r="G17">
        <v>45</v>
      </c>
      <c r="H17">
        <v>57</v>
      </c>
      <c r="J17">
        <v>6</v>
      </c>
      <c r="K17">
        <v>9</v>
      </c>
      <c r="L17">
        <v>10</v>
      </c>
      <c r="M17">
        <v>11</v>
      </c>
      <c r="N17">
        <v>12</v>
      </c>
      <c r="O17">
        <v>13</v>
      </c>
      <c r="P17">
        <v>14</v>
      </c>
      <c r="Q17">
        <v>15</v>
      </c>
    </row>
    <row r="18" spans="1:17" x14ac:dyDescent="0.3">
      <c r="A18">
        <v>7</v>
      </c>
      <c r="B18">
        <v>35</v>
      </c>
      <c r="C18">
        <v>37</v>
      </c>
      <c r="D18">
        <v>39</v>
      </c>
      <c r="E18">
        <v>44</v>
      </c>
      <c r="F18">
        <v>45</v>
      </c>
      <c r="G18">
        <v>57</v>
      </c>
      <c r="H18">
        <v>52</v>
      </c>
      <c r="J18">
        <v>7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</row>
    <row r="19" spans="1:17" x14ac:dyDescent="0.3">
      <c r="A19">
        <v>8</v>
      </c>
      <c r="B19">
        <v>41</v>
      </c>
      <c r="C19">
        <v>42</v>
      </c>
      <c r="D19">
        <v>43</v>
      </c>
      <c r="E19">
        <v>47</v>
      </c>
      <c r="F19">
        <v>49</v>
      </c>
      <c r="G19">
        <v>52</v>
      </c>
      <c r="H19">
        <v>53</v>
      </c>
      <c r="J19">
        <v>8</v>
      </c>
      <c r="K19">
        <v>11</v>
      </c>
      <c r="L19">
        <v>12</v>
      </c>
      <c r="M19">
        <v>13</v>
      </c>
      <c r="N19">
        <v>14</v>
      </c>
      <c r="O19">
        <v>15</v>
      </c>
      <c r="P19">
        <v>16</v>
      </c>
      <c r="Q19">
        <v>17</v>
      </c>
    </row>
    <row r="20" spans="1:17" x14ac:dyDescent="0.3">
      <c r="A20">
        <v>9</v>
      </c>
      <c r="B20">
        <v>42</v>
      </c>
      <c r="C20">
        <v>43</v>
      </c>
      <c r="D20">
        <v>47</v>
      </c>
      <c r="E20">
        <v>49</v>
      </c>
      <c r="F20">
        <v>52</v>
      </c>
      <c r="G20">
        <v>53</v>
      </c>
      <c r="H20" t="s">
        <v>92</v>
      </c>
      <c r="J20">
        <v>9</v>
      </c>
      <c r="K20">
        <v>12</v>
      </c>
      <c r="L20">
        <v>13</v>
      </c>
      <c r="M20">
        <v>14</v>
      </c>
      <c r="N20">
        <v>15</v>
      </c>
      <c r="O20">
        <v>16</v>
      </c>
      <c r="P20">
        <v>17</v>
      </c>
      <c r="Q20">
        <v>57</v>
      </c>
    </row>
    <row r="21" spans="1:17" x14ac:dyDescent="0.3">
      <c r="A21">
        <v>10</v>
      </c>
      <c r="B21">
        <v>46</v>
      </c>
      <c r="C21">
        <v>50</v>
      </c>
      <c r="D21">
        <v>51</v>
      </c>
      <c r="E21">
        <v>55</v>
      </c>
      <c r="F21">
        <v>54</v>
      </c>
      <c r="G21">
        <v>57</v>
      </c>
      <c r="H21">
        <v>58</v>
      </c>
      <c r="J21">
        <v>10</v>
      </c>
      <c r="K21">
        <v>13</v>
      </c>
      <c r="L21">
        <v>14</v>
      </c>
      <c r="M21">
        <v>15</v>
      </c>
      <c r="N21">
        <v>16</v>
      </c>
      <c r="O21">
        <v>17</v>
      </c>
      <c r="P21">
        <v>57</v>
      </c>
      <c r="Q21">
        <v>58</v>
      </c>
    </row>
    <row r="22" spans="1:17" x14ac:dyDescent="0.3">
      <c r="A22">
        <v>11</v>
      </c>
      <c r="B22">
        <v>50</v>
      </c>
      <c r="C22">
        <v>51</v>
      </c>
      <c r="D22">
        <v>55</v>
      </c>
      <c r="E22">
        <v>56</v>
      </c>
      <c r="F22">
        <v>57</v>
      </c>
      <c r="G22">
        <v>58</v>
      </c>
      <c r="H22" t="s">
        <v>92</v>
      </c>
      <c r="J22">
        <v>11</v>
      </c>
      <c r="K22">
        <v>14</v>
      </c>
      <c r="L22">
        <v>15</v>
      </c>
      <c r="M22">
        <v>16</v>
      </c>
      <c r="N22">
        <v>17</v>
      </c>
      <c r="O22">
        <v>57</v>
      </c>
      <c r="P22">
        <v>58</v>
      </c>
      <c r="Q22">
        <v>60</v>
      </c>
    </row>
    <row r="23" spans="1:17" x14ac:dyDescent="0.3">
      <c r="A23">
        <v>12</v>
      </c>
      <c r="B23">
        <v>48</v>
      </c>
      <c r="C23">
        <v>55</v>
      </c>
      <c r="D23">
        <v>56</v>
      </c>
      <c r="E23">
        <v>57</v>
      </c>
      <c r="F23">
        <v>58</v>
      </c>
      <c r="G23">
        <v>60</v>
      </c>
      <c r="H23">
        <v>62</v>
      </c>
      <c r="J23">
        <v>12</v>
      </c>
      <c r="K23">
        <v>15</v>
      </c>
      <c r="L23">
        <v>16</v>
      </c>
      <c r="M23">
        <v>17</v>
      </c>
      <c r="N23">
        <v>57</v>
      </c>
      <c r="O23">
        <v>58</v>
      </c>
      <c r="P23">
        <v>60</v>
      </c>
      <c r="Q23">
        <v>21</v>
      </c>
    </row>
    <row r="24" spans="1:17" x14ac:dyDescent="0.3">
      <c r="A24">
        <v>14</v>
      </c>
      <c r="B24" t="s">
        <v>92</v>
      </c>
      <c r="C24" t="s">
        <v>92</v>
      </c>
      <c r="D24">
        <v>57</v>
      </c>
      <c r="E24">
        <v>58</v>
      </c>
      <c r="F24">
        <v>60</v>
      </c>
      <c r="G24">
        <v>62</v>
      </c>
      <c r="H24">
        <v>61</v>
      </c>
      <c r="J24">
        <v>14</v>
      </c>
      <c r="K24">
        <v>16</v>
      </c>
      <c r="L24">
        <v>17</v>
      </c>
      <c r="M24">
        <v>57</v>
      </c>
      <c r="N24">
        <v>58</v>
      </c>
      <c r="O24">
        <v>60</v>
      </c>
      <c r="P24">
        <v>21</v>
      </c>
      <c r="Q24">
        <v>61</v>
      </c>
    </row>
    <row r="25" spans="1:17" x14ac:dyDescent="0.3">
      <c r="A25">
        <v>15</v>
      </c>
      <c r="B25" t="s">
        <v>92</v>
      </c>
      <c r="C25" t="s">
        <v>92</v>
      </c>
      <c r="D25" t="s">
        <v>92</v>
      </c>
      <c r="E25">
        <v>60</v>
      </c>
      <c r="F25">
        <v>62</v>
      </c>
      <c r="G25" t="s">
        <v>92</v>
      </c>
      <c r="H25" t="s">
        <v>92</v>
      </c>
      <c r="J25">
        <v>15</v>
      </c>
      <c r="K25">
        <v>17</v>
      </c>
      <c r="L25">
        <v>57</v>
      </c>
      <c r="M25">
        <v>58</v>
      </c>
      <c r="N25">
        <v>60</v>
      </c>
      <c r="O25">
        <v>21</v>
      </c>
      <c r="P25">
        <v>61</v>
      </c>
      <c r="Q25" t="s">
        <v>92</v>
      </c>
    </row>
    <row r="26" spans="1:17" x14ac:dyDescent="0.3">
      <c r="A26">
        <v>16</v>
      </c>
      <c r="B26" t="s">
        <v>92</v>
      </c>
      <c r="C26" t="s">
        <v>92</v>
      </c>
      <c r="D26">
        <v>60</v>
      </c>
      <c r="E26">
        <v>62</v>
      </c>
      <c r="F26">
        <v>61</v>
      </c>
      <c r="G26" t="s">
        <v>92</v>
      </c>
      <c r="H26" t="s">
        <v>92</v>
      </c>
      <c r="J26">
        <v>16</v>
      </c>
      <c r="K26">
        <v>57</v>
      </c>
      <c r="L26">
        <v>58</v>
      </c>
      <c r="M26">
        <v>60</v>
      </c>
      <c r="N26">
        <v>21</v>
      </c>
      <c r="O26">
        <v>61</v>
      </c>
      <c r="P26" t="s">
        <v>92</v>
      </c>
      <c r="Q26" t="s">
        <v>92</v>
      </c>
    </row>
    <row r="27" spans="1:17" x14ac:dyDescent="0.3">
      <c r="A27">
        <v>17</v>
      </c>
      <c r="B27" t="s">
        <v>92</v>
      </c>
      <c r="C27" t="s">
        <v>92</v>
      </c>
      <c r="D27" t="s">
        <v>92</v>
      </c>
      <c r="E27">
        <v>61</v>
      </c>
      <c r="F27" t="s">
        <v>92</v>
      </c>
      <c r="J27">
        <v>17</v>
      </c>
      <c r="K27">
        <v>58</v>
      </c>
      <c r="L27">
        <v>60</v>
      </c>
      <c r="M27">
        <v>21</v>
      </c>
      <c r="N27">
        <v>61</v>
      </c>
      <c r="O27" t="s">
        <v>92</v>
      </c>
      <c r="P27" t="s">
        <v>92</v>
      </c>
      <c r="Q27" t="s">
        <v>92</v>
      </c>
    </row>
    <row r="28" spans="1:17" x14ac:dyDescent="0.3">
      <c r="A28">
        <v>18</v>
      </c>
      <c r="B28" t="s">
        <v>92</v>
      </c>
      <c r="C28" t="s">
        <v>92</v>
      </c>
      <c r="D28">
        <v>61</v>
      </c>
      <c r="E28" t="s">
        <v>92</v>
      </c>
      <c r="J28">
        <v>18</v>
      </c>
      <c r="K28">
        <v>60</v>
      </c>
      <c r="L28">
        <v>21</v>
      </c>
      <c r="M28">
        <v>61</v>
      </c>
      <c r="N28" t="s">
        <v>92</v>
      </c>
      <c r="O28" t="s">
        <v>92</v>
      </c>
      <c r="P28" t="s">
        <v>92</v>
      </c>
      <c r="Q28" t="s">
        <v>92</v>
      </c>
    </row>
    <row r="29" spans="1:17" x14ac:dyDescent="0.3">
      <c r="J29">
        <v>19</v>
      </c>
      <c r="K29">
        <v>21</v>
      </c>
      <c r="L29">
        <v>61</v>
      </c>
      <c r="M29" t="s">
        <v>92</v>
      </c>
      <c r="N29" t="s">
        <v>92</v>
      </c>
      <c r="O29" t="s">
        <v>92</v>
      </c>
      <c r="P29" t="s">
        <v>92</v>
      </c>
      <c r="Q29" t="s">
        <v>92</v>
      </c>
    </row>
    <row r="30" spans="1:17" x14ac:dyDescent="0.3">
      <c r="J30">
        <v>20</v>
      </c>
      <c r="K30">
        <v>21</v>
      </c>
      <c r="L30" t="s">
        <v>92</v>
      </c>
      <c r="M30" t="s">
        <v>92</v>
      </c>
      <c r="N30" t="s">
        <v>92</v>
      </c>
      <c r="O30" t="s">
        <v>92</v>
      </c>
      <c r="P30" t="s">
        <v>92</v>
      </c>
      <c r="Q30" t="s">
        <v>92</v>
      </c>
    </row>
  </sheetData>
  <mergeCells count="4">
    <mergeCell ref="A1:H1"/>
    <mergeCell ref="B2:H2"/>
    <mergeCell ref="J1:Q1"/>
    <mergeCell ref="K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31"/>
  <sheetViews>
    <sheetView workbookViewId="0">
      <selection activeCell="B31" sqref="A1:B31"/>
    </sheetView>
  </sheetViews>
  <sheetFormatPr defaultRowHeight="14.4" x14ac:dyDescent="0.3"/>
  <cols>
    <col min="2" max="2" width="12" customWidth="1"/>
  </cols>
  <sheetData>
    <row r="1" spans="1:2" x14ac:dyDescent="0.3">
      <c r="A1" s="27" t="s">
        <v>102</v>
      </c>
      <c r="B1" s="27" t="s">
        <v>101</v>
      </c>
    </row>
    <row r="2" spans="1:2" ht="19.2" x14ac:dyDescent="0.3">
      <c r="A2" s="27" t="s">
        <v>148</v>
      </c>
      <c r="B2" s="27" t="s">
        <v>147</v>
      </c>
    </row>
    <row r="3" spans="1:2" ht="19.2" x14ac:dyDescent="0.3">
      <c r="A3" s="27" t="s">
        <v>136</v>
      </c>
      <c r="B3" s="27" t="s">
        <v>135</v>
      </c>
    </row>
    <row r="4" spans="1:2" ht="19.2" x14ac:dyDescent="0.3">
      <c r="A4" s="27" t="s">
        <v>134</v>
      </c>
      <c r="B4" s="27" t="s">
        <v>133</v>
      </c>
    </row>
    <row r="5" spans="1:2" x14ac:dyDescent="0.3">
      <c r="A5" s="27" t="s">
        <v>114</v>
      </c>
      <c r="B5" s="27" t="s">
        <v>113</v>
      </c>
    </row>
    <row r="6" spans="1:2" x14ac:dyDescent="0.3">
      <c r="A6" s="27" t="s">
        <v>124</v>
      </c>
      <c r="B6" s="27" t="s">
        <v>123</v>
      </c>
    </row>
    <row r="7" spans="1:2" x14ac:dyDescent="0.3">
      <c r="A7" s="27" t="s">
        <v>112</v>
      </c>
      <c r="B7" s="27" t="s">
        <v>111</v>
      </c>
    </row>
    <row r="8" spans="1:2" ht="19.2" x14ac:dyDescent="0.3">
      <c r="A8" s="27" t="s">
        <v>138</v>
      </c>
      <c r="B8" s="27" t="s">
        <v>137</v>
      </c>
    </row>
    <row r="9" spans="1:2" x14ac:dyDescent="0.3">
      <c r="A9" s="27" t="s">
        <v>104</v>
      </c>
      <c r="B9" s="27" t="s">
        <v>103</v>
      </c>
    </row>
    <row r="10" spans="1:2" x14ac:dyDescent="0.3">
      <c r="A10" s="32" t="s">
        <v>151</v>
      </c>
      <c r="B10" s="32" t="s">
        <v>178</v>
      </c>
    </row>
    <row r="11" spans="1:2" x14ac:dyDescent="0.3">
      <c r="A11" s="32" t="s">
        <v>149</v>
      </c>
      <c r="B11" s="32"/>
    </row>
    <row r="12" spans="1:2" x14ac:dyDescent="0.3">
      <c r="A12" s="27" t="s">
        <v>110</v>
      </c>
      <c r="B12" s="27" t="s">
        <v>109</v>
      </c>
    </row>
    <row r="13" spans="1:2" x14ac:dyDescent="0.3">
      <c r="A13" s="27" t="s">
        <v>116</v>
      </c>
      <c r="B13" s="27" t="s">
        <v>115</v>
      </c>
    </row>
    <row r="14" spans="1:2" ht="19.2" x14ac:dyDescent="0.3">
      <c r="A14" s="27" t="s">
        <v>120</v>
      </c>
      <c r="B14" s="27" t="s">
        <v>119</v>
      </c>
    </row>
    <row r="15" spans="1:2" x14ac:dyDescent="0.3">
      <c r="A15" s="27" t="s">
        <v>118</v>
      </c>
      <c r="B15" s="27" t="s">
        <v>117</v>
      </c>
    </row>
    <row r="16" spans="1:2" ht="19.2" x14ac:dyDescent="0.3">
      <c r="A16" s="27" t="s">
        <v>130</v>
      </c>
      <c r="B16" s="27" t="s">
        <v>129</v>
      </c>
    </row>
    <row r="17" spans="1:2" ht="19.2" x14ac:dyDescent="0.3">
      <c r="A17" s="32" t="s">
        <v>152</v>
      </c>
      <c r="B17" s="32" t="s">
        <v>180</v>
      </c>
    </row>
    <row r="18" spans="1:2" x14ac:dyDescent="0.3">
      <c r="A18" s="32" t="s">
        <v>153</v>
      </c>
      <c r="B18" s="32" t="s">
        <v>179</v>
      </c>
    </row>
    <row r="19" spans="1:2" x14ac:dyDescent="0.3">
      <c r="A19" s="32" t="s">
        <v>150</v>
      </c>
      <c r="B19" s="32"/>
    </row>
    <row r="20" spans="1:2" ht="19.2" x14ac:dyDescent="0.3">
      <c r="A20" s="27" t="s">
        <v>128</v>
      </c>
      <c r="B20" s="27" t="s">
        <v>127</v>
      </c>
    </row>
    <row r="21" spans="1:2" x14ac:dyDescent="0.3">
      <c r="A21" s="27" t="s">
        <v>108</v>
      </c>
      <c r="B21" s="27" t="s">
        <v>107</v>
      </c>
    </row>
    <row r="22" spans="1:2" ht="19.2" x14ac:dyDescent="0.3">
      <c r="A22" s="27" t="s">
        <v>100</v>
      </c>
      <c r="B22" s="27" t="s">
        <v>99</v>
      </c>
    </row>
    <row r="23" spans="1:2" ht="19.2" x14ac:dyDescent="0.3">
      <c r="A23" s="27" t="s">
        <v>144</v>
      </c>
      <c r="B23" s="27" t="s">
        <v>143</v>
      </c>
    </row>
    <row r="24" spans="1:2" x14ac:dyDescent="0.3">
      <c r="A24" s="27" t="s">
        <v>98</v>
      </c>
      <c r="B24" s="27" t="s">
        <v>97</v>
      </c>
    </row>
    <row r="25" spans="1:2" x14ac:dyDescent="0.3">
      <c r="A25" s="27" t="s">
        <v>106</v>
      </c>
      <c r="B25" s="27" t="s">
        <v>105</v>
      </c>
    </row>
    <row r="26" spans="1:2" ht="19.2" x14ac:dyDescent="0.3">
      <c r="A26" s="31" t="s">
        <v>142</v>
      </c>
      <c r="B26" s="27" t="s">
        <v>141</v>
      </c>
    </row>
    <row r="27" spans="1:2" ht="19.2" x14ac:dyDescent="0.3">
      <c r="A27" s="30" t="s">
        <v>126</v>
      </c>
      <c r="B27" s="29" t="s">
        <v>125</v>
      </c>
    </row>
    <row r="28" spans="1:2" ht="28.8" x14ac:dyDescent="0.3">
      <c r="A28" s="28" t="s">
        <v>132</v>
      </c>
      <c r="B28" s="27" t="s">
        <v>131</v>
      </c>
    </row>
    <row r="29" spans="1:2" x14ac:dyDescent="0.3">
      <c r="A29" s="27" t="s">
        <v>146</v>
      </c>
      <c r="B29" s="27" t="s">
        <v>145</v>
      </c>
    </row>
    <row r="30" spans="1:2" x14ac:dyDescent="0.3">
      <c r="A30" s="27" t="s">
        <v>122</v>
      </c>
      <c r="B30" s="27" t="s">
        <v>121</v>
      </c>
    </row>
    <row r="31" spans="1:2" ht="28.8" x14ac:dyDescent="0.3">
      <c r="A31" s="27" t="s">
        <v>140</v>
      </c>
      <c r="B31" s="27" t="s">
        <v>139</v>
      </c>
    </row>
  </sheetData>
  <sortState xmlns:xlrd2="http://schemas.microsoft.com/office/spreadsheetml/2017/richdata2" ref="A1:B31">
    <sortCondition ref="A1:A31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21"/>
  <sheetViews>
    <sheetView workbookViewId="0">
      <selection sqref="A1:B21"/>
    </sheetView>
  </sheetViews>
  <sheetFormatPr defaultRowHeight="14.4" x14ac:dyDescent="0.3"/>
  <cols>
    <col min="1" max="2" width="9.109375" style="1"/>
    <col min="5" max="5" width="7.33203125" customWidth="1"/>
  </cols>
  <sheetData>
    <row r="1" spans="1:6" x14ac:dyDescent="0.3">
      <c r="A1" s="81" t="s">
        <v>162</v>
      </c>
      <c r="B1" s="81"/>
      <c r="D1" s="80" t="s">
        <v>163</v>
      </c>
      <c r="E1" s="80"/>
      <c r="F1" s="80"/>
    </row>
    <row r="2" spans="1:6" x14ac:dyDescent="0.3">
      <c r="A2" s="1" t="s">
        <v>158</v>
      </c>
      <c r="B2" s="1" t="s">
        <v>159</v>
      </c>
      <c r="D2" s="1" t="s">
        <v>158</v>
      </c>
      <c r="E2" s="81" t="s">
        <v>159</v>
      </c>
      <c r="F2" s="81"/>
    </row>
    <row r="3" spans="1:6" x14ac:dyDescent="0.3">
      <c r="A3" s="1">
        <f>3/8</f>
        <v>0.375</v>
      </c>
      <c r="B3" s="1">
        <f>5/8</f>
        <v>0.625</v>
      </c>
      <c r="D3" s="1">
        <f>3/8</f>
        <v>0.375</v>
      </c>
    </row>
    <row r="4" spans="1:6" x14ac:dyDescent="0.3">
      <c r="A4" s="1">
        <f>1/2</f>
        <v>0.5</v>
      </c>
      <c r="B4" s="1">
        <f>7/8</f>
        <v>0.875</v>
      </c>
      <c r="D4" s="1">
        <f>5/8</f>
        <v>0.625</v>
      </c>
    </row>
    <row r="5" spans="1:6" x14ac:dyDescent="0.3">
      <c r="A5" s="1">
        <f>3/4</f>
        <v>0.75</v>
      </c>
      <c r="B5" s="1">
        <f>9/8</f>
        <v>1.125</v>
      </c>
      <c r="D5" s="1">
        <f>7/8</f>
        <v>0.875</v>
      </c>
      <c r="E5" s="1">
        <f>1/2</f>
        <v>0.5</v>
      </c>
      <c r="F5" t="s">
        <v>165</v>
      </c>
    </row>
    <row r="6" spans="1:6" x14ac:dyDescent="0.3">
      <c r="A6" s="1">
        <v>1</v>
      </c>
      <c r="B6" s="1">
        <f>11/8</f>
        <v>1.375</v>
      </c>
      <c r="D6" s="1">
        <f>9/8</f>
        <v>1.125</v>
      </c>
      <c r="E6" s="1">
        <f>3/4</f>
        <v>0.75</v>
      </c>
      <c r="F6" t="s">
        <v>165</v>
      </c>
    </row>
    <row r="7" spans="1:6" x14ac:dyDescent="0.3">
      <c r="A7" s="1">
        <f>1+1/4</f>
        <v>1.25</v>
      </c>
      <c r="B7" s="1">
        <f>13/8</f>
        <v>1.625</v>
      </c>
      <c r="D7" s="1">
        <f>11/8</f>
        <v>1.375</v>
      </c>
      <c r="E7" s="1">
        <v>1</v>
      </c>
      <c r="F7" t="s">
        <v>165</v>
      </c>
    </row>
    <row r="8" spans="1:6" x14ac:dyDescent="0.3">
      <c r="A8" s="1">
        <f>3/2</f>
        <v>1.5</v>
      </c>
      <c r="B8" s="1">
        <f>1+15/16</f>
        <v>1.9375</v>
      </c>
      <c r="D8" s="1">
        <f>13/8</f>
        <v>1.625</v>
      </c>
      <c r="E8" s="1">
        <f>5/4</f>
        <v>1.25</v>
      </c>
      <c r="F8" t="s">
        <v>165</v>
      </c>
    </row>
    <row r="9" spans="1:6" x14ac:dyDescent="0.3">
      <c r="A9" s="1">
        <v>2</v>
      </c>
      <c r="B9" s="1">
        <f>2+3/8</f>
        <v>2.375</v>
      </c>
      <c r="D9" s="1">
        <f>1+7/8</f>
        <v>1.875</v>
      </c>
      <c r="E9" s="75" t="s">
        <v>161</v>
      </c>
      <c r="F9" s="75"/>
    </row>
    <row r="10" spans="1:6" x14ac:dyDescent="0.3">
      <c r="A10" s="1">
        <f>5/2</f>
        <v>2.5</v>
      </c>
      <c r="B10" s="1">
        <f>2+7/8</f>
        <v>2.875</v>
      </c>
      <c r="D10" t="s">
        <v>164</v>
      </c>
      <c r="E10" s="75"/>
      <c r="F10" s="75"/>
    </row>
    <row r="11" spans="1:6" x14ac:dyDescent="0.3">
      <c r="A11" s="1">
        <v>3</v>
      </c>
      <c r="B11" s="1">
        <f>3+1/2</f>
        <v>3.5</v>
      </c>
    </row>
    <row r="12" spans="1:6" x14ac:dyDescent="0.3">
      <c r="A12" s="1">
        <v>4</v>
      </c>
      <c r="B12" s="1">
        <f>4+1/2</f>
        <v>4.5</v>
      </c>
    </row>
    <row r="13" spans="1:6" x14ac:dyDescent="0.3">
      <c r="A13" s="1">
        <v>5</v>
      </c>
      <c r="B13" s="1">
        <f>5+1/2</f>
        <v>5.5</v>
      </c>
    </row>
    <row r="14" spans="1:6" x14ac:dyDescent="0.3">
      <c r="A14" s="1">
        <v>6</v>
      </c>
      <c r="B14" s="1">
        <f>6+5/8</f>
        <v>6.625</v>
      </c>
    </row>
    <row r="15" spans="1:6" x14ac:dyDescent="0.3">
      <c r="A15" s="1">
        <v>7</v>
      </c>
      <c r="B15" s="1">
        <f>7+5/8</f>
        <v>7.625</v>
      </c>
    </row>
    <row r="16" spans="1:6" x14ac:dyDescent="0.3">
      <c r="A16" s="1">
        <v>8</v>
      </c>
      <c r="B16" s="1">
        <f>8+3/4</f>
        <v>8.75</v>
      </c>
    </row>
    <row r="17" spans="1:2" x14ac:dyDescent="0.3">
      <c r="A17" s="1">
        <v>9</v>
      </c>
      <c r="B17" s="1">
        <f>9+3/4</f>
        <v>9.75</v>
      </c>
    </row>
    <row r="18" spans="1:2" x14ac:dyDescent="0.3">
      <c r="A18" s="1">
        <v>10</v>
      </c>
      <c r="B18" s="1">
        <f>10+3/4</f>
        <v>10.75</v>
      </c>
    </row>
    <row r="19" spans="1:2" x14ac:dyDescent="0.3">
      <c r="A19" s="1">
        <v>11</v>
      </c>
      <c r="B19" s="1">
        <f>11+3/4</f>
        <v>11.75</v>
      </c>
    </row>
    <row r="20" spans="1:2" x14ac:dyDescent="0.3">
      <c r="A20" s="1">
        <v>12</v>
      </c>
      <c r="B20" s="1">
        <f>12+3/4</f>
        <v>12.75</v>
      </c>
    </row>
    <row r="21" spans="1:2" x14ac:dyDescent="0.3">
      <c r="A21" s="1" t="s">
        <v>160</v>
      </c>
      <c r="B21" s="1" t="s">
        <v>161</v>
      </c>
    </row>
  </sheetData>
  <mergeCells count="4">
    <mergeCell ref="A1:B1"/>
    <mergeCell ref="D1:F1"/>
    <mergeCell ref="E2:F2"/>
    <mergeCell ref="E9:F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B224"/>
  <sheetViews>
    <sheetView workbookViewId="0">
      <selection activeCell="M34" sqref="M34"/>
    </sheetView>
  </sheetViews>
  <sheetFormatPr defaultColWidth="9.109375" defaultRowHeight="14.4" x14ac:dyDescent="0.3"/>
  <cols>
    <col min="1" max="1" width="9.109375" style="3"/>
    <col min="2" max="4" width="7.33203125" style="4" bestFit="1" customWidth="1"/>
    <col min="5" max="16384" width="9.109375" style="4"/>
  </cols>
  <sheetData>
    <row r="1" spans="1:28" s="3" customFormat="1" x14ac:dyDescent="0.3">
      <c r="A1" s="82" t="s">
        <v>166</v>
      </c>
      <c r="B1" s="81">
        <v>1</v>
      </c>
      <c r="C1" s="81"/>
      <c r="D1" s="81"/>
      <c r="E1" s="81">
        <v>1.5</v>
      </c>
      <c r="F1" s="81"/>
      <c r="G1" s="81"/>
      <c r="H1" s="81">
        <v>2</v>
      </c>
      <c r="I1" s="81"/>
      <c r="J1" s="81"/>
      <c r="K1" s="81">
        <v>2.5</v>
      </c>
      <c r="L1" s="81"/>
      <c r="M1" s="81"/>
      <c r="N1" s="81">
        <v>3</v>
      </c>
      <c r="O1" s="81"/>
      <c r="P1" s="81"/>
      <c r="Q1" s="81">
        <v>3.5</v>
      </c>
      <c r="R1" s="81"/>
      <c r="S1" s="81"/>
      <c r="T1" s="81">
        <v>4</v>
      </c>
      <c r="U1" s="81"/>
      <c r="V1" s="81"/>
      <c r="W1" s="81">
        <v>4.5</v>
      </c>
      <c r="X1" s="81"/>
      <c r="Y1" s="81"/>
      <c r="Z1" s="81">
        <v>5</v>
      </c>
      <c r="AA1" s="81"/>
      <c r="AB1" s="81"/>
    </row>
    <row r="2" spans="1:28" x14ac:dyDescent="0.3">
      <c r="A2" s="82"/>
      <c r="B2" s="3" t="s">
        <v>167</v>
      </c>
      <c r="C2" s="3" t="s">
        <v>168</v>
      </c>
      <c r="D2" s="3" t="s">
        <v>106</v>
      </c>
      <c r="E2" s="3" t="s">
        <v>167</v>
      </c>
      <c r="F2" s="3" t="s">
        <v>168</v>
      </c>
      <c r="G2" s="3" t="s">
        <v>106</v>
      </c>
      <c r="H2" s="3" t="s">
        <v>167</v>
      </c>
      <c r="I2" s="3" t="s">
        <v>168</v>
      </c>
      <c r="J2" s="3" t="s">
        <v>106</v>
      </c>
      <c r="K2" s="3" t="s">
        <v>167</v>
      </c>
      <c r="L2" s="3" t="s">
        <v>168</v>
      </c>
      <c r="M2" s="3" t="s">
        <v>106</v>
      </c>
      <c r="N2" s="3" t="s">
        <v>167</v>
      </c>
      <c r="O2" s="3" t="s">
        <v>168</v>
      </c>
      <c r="P2" s="3" t="s">
        <v>106</v>
      </c>
      <c r="Q2" s="3" t="s">
        <v>167</v>
      </c>
      <c r="R2" s="3" t="s">
        <v>168</v>
      </c>
      <c r="S2" s="3" t="s">
        <v>106</v>
      </c>
      <c r="T2" s="3" t="s">
        <v>167</v>
      </c>
      <c r="U2" s="3" t="s">
        <v>168</v>
      </c>
      <c r="V2" s="3" t="s">
        <v>106</v>
      </c>
      <c r="W2" s="3" t="s">
        <v>167</v>
      </c>
      <c r="X2" s="3" t="s">
        <v>168</v>
      </c>
      <c r="Y2" s="3" t="s">
        <v>106</v>
      </c>
      <c r="Z2" s="3" t="s">
        <v>167</v>
      </c>
      <c r="AA2" s="3" t="s">
        <v>168</v>
      </c>
      <c r="AB2" s="3" t="s">
        <v>106</v>
      </c>
    </row>
    <row r="3" spans="1:28" x14ac:dyDescent="0.3">
      <c r="A3" s="3">
        <v>3</v>
      </c>
      <c r="B3" s="3">
        <f>3+3/32</f>
        <v>3.09375</v>
      </c>
      <c r="C3" s="3">
        <v>3</v>
      </c>
      <c r="D3" s="3">
        <v>0.125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3">
        <v>3.5</v>
      </c>
      <c r="B4" s="3">
        <v>2.5</v>
      </c>
      <c r="C4" s="3">
        <v>4</v>
      </c>
      <c r="D4" s="3">
        <v>0.25</v>
      </c>
      <c r="E4" s="3">
        <f>5+3/8</f>
        <v>5.375</v>
      </c>
      <c r="F4" s="3">
        <v>2</v>
      </c>
      <c r="G4" s="3">
        <f>1/8</f>
        <v>0.125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3">
        <v>4</v>
      </c>
      <c r="B5" s="3">
        <v>3.5</v>
      </c>
      <c r="C5" s="3">
        <v>3</v>
      </c>
      <c r="D5" s="3">
        <v>0.25</v>
      </c>
      <c r="E5" s="3">
        <f>6+1/8</f>
        <v>6.125</v>
      </c>
      <c r="F5" s="3">
        <v>2</v>
      </c>
      <c r="G5" s="3">
        <f>1/8</f>
        <v>0.125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3">
        <v>4.5</v>
      </c>
      <c r="B6" s="3">
        <v>3</v>
      </c>
      <c r="C6" s="3">
        <v>4</v>
      </c>
      <c r="D6" s="3">
        <v>0.5</v>
      </c>
      <c r="E6" s="3">
        <f>3+1/4</f>
        <v>3.25</v>
      </c>
      <c r="F6" s="3">
        <v>4</v>
      </c>
      <c r="G6" s="3">
        <f>1/4</f>
        <v>0.25</v>
      </c>
      <c r="H6" s="3">
        <f>6+7/8</f>
        <v>6.875</v>
      </c>
      <c r="I6" s="3">
        <v>2</v>
      </c>
      <c r="J6" s="3">
        <f>1/8</f>
        <v>0.125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3">
        <v>5</v>
      </c>
      <c r="B7" s="3">
        <v>3.5</v>
      </c>
      <c r="C7" s="3">
        <v>4</v>
      </c>
      <c r="D7" s="3">
        <v>0.5</v>
      </c>
      <c r="E7" s="3">
        <f>3+5/8</f>
        <v>3.625</v>
      </c>
      <c r="F7" s="3">
        <v>6</v>
      </c>
      <c r="G7" s="3">
        <f>3/8</f>
        <v>0.375</v>
      </c>
      <c r="H7" s="3">
        <f>7+5/8</f>
        <v>7.625</v>
      </c>
      <c r="I7" s="3">
        <v>2</v>
      </c>
      <c r="J7" s="3">
        <f>1/8</f>
        <v>0.125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3">
        <v>6</v>
      </c>
      <c r="B8" s="3">
        <f>2+5/8</f>
        <v>2.625</v>
      </c>
      <c r="C8" s="3">
        <v>6</v>
      </c>
      <c r="D8" s="3">
        <v>0.5</v>
      </c>
      <c r="E8" s="3">
        <f>2+3/4</f>
        <v>2.75</v>
      </c>
      <c r="F8" s="3">
        <v>6</v>
      </c>
      <c r="G8" s="3">
        <f>1/2</f>
        <v>0.5</v>
      </c>
      <c r="H8" s="3">
        <f>4+3/8</f>
        <v>4.375</v>
      </c>
      <c r="I8" s="3">
        <v>4</v>
      </c>
      <c r="J8" s="3">
        <v>0.25</v>
      </c>
      <c r="K8" s="3">
        <f>9+1/4</f>
        <v>9.25</v>
      </c>
      <c r="L8" s="3">
        <v>2</v>
      </c>
      <c r="M8" s="3">
        <f>1/8</f>
        <v>0.125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3">
        <v>7</v>
      </c>
      <c r="B9" s="3"/>
      <c r="C9" s="3"/>
      <c r="D9" s="3"/>
      <c r="E9" s="3">
        <f>3+1/4</f>
        <v>3.25</v>
      </c>
      <c r="F9" s="3">
        <v>6</v>
      </c>
      <c r="G9" s="3">
        <f>5/8</f>
        <v>0.625</v>
      </c>
      <c r="H9" s="3">
        <f>3+3/8</f>
        <v>3.375</v>
      </c>
      <c r="I9" s="3">
        <v>6</v>
      </c>
      <c r="J9" s="3">
        <v>0.25</v>
      </c>
      <c r="K9" s="3">
        <f>5+1/4</f>
        <v>5.25</v>
      </c>
      <c r="L9" s="3">
        <v>4</v>
      </c>
      <c r="M9" s="3">
        <v>0.25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3">
        <v>8</v>
      </c>
      <c r="B10" s="3"/>
      <c r="C10" s="3"/>
      <c r="D10" s="3"/>
      <c r="E10" s="3">
        <f>3+5/8</f>
        <v>3.625</v>
      </c>
      <c r="F10" s="3">
        <v>8</v>
      </c>
      <c r="G10" s="3">
        <f>1/2</f>
        <v>0.5</v>
      </c>
      <c r="H10" s="3">
        <f>3+3/4</f>
        <v>3.75</v>
      </c>
      <c r="I10" s="3">
        <v>6</v>
      </c>
      <c r="J10" s="3">
        <v>0.5</v>
      </c>
      <c r="K10" s="3">
        <f>3+7/8</f>
        <v>3.875</v>
      </c>
      <c r="L10" s="3">
        <v>6</v>
      </c>
      <c r="M10" s="3">
        <v>0.25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3">
        <v>9</v>
      </c>
      <c r="B11" s="3"/>
      <c r="C11" s="3"/>
      <c r="D11" s="3"/>
      <c r="E11" s="3">
        <v>3</v>
      </c>
      <c r="F11" s="3">
        <v>8</v>
      </c>
      <c r="G11" s="3">
        <f>5/8</f>
        <v>0.625</v>
      </c>
      <c r="H11" s="3">
        <f>3+1/8</f>
        <v>3.125</v>
      </c>
      <c r="I11" s="3">
        <v>8</v>
      </c>
      <c r="J11" s="3">
        <v>0.375</v>
      </c>
      <c r="K11" s="3">
        <f>3+1/4</f>
        <v>3.25</v>
      </c>
      <c r="L11" s="3">
        <v>8</v>
      </c>
      <c r="M11" s="3">
        <v>0.25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3">
        <v>10</v>
      </c>
      <c r="B12" s="3"/>
      <c r="C12" s="3"/>
      <c r="D12" s="3"/>
      <c r="E12" s="3">
        <f>3+3/8</f>
        <v>3.375</v>
      </c>
      <c r="F12" s="3">
        <v>8</v>
      </c>
      <c r="G12" s="3">
        <f>3/4</f>
        <v>0.75</v>
      </c>
      <c r="H12" s="3">
        <f>3+3/8</f>
        <v>3.375</v>
      </c>
      <c r="I12" s="3">
        <v>8</v>
      </c>
      <c r="J12" s="3">
        <v>0.5</v>
      </c>
      <c r="K12" s="3">
        <f>3+1/2</f>
        <v>3.5</v>
      </c>
      <c r="L12" s="3">
        <v>8</v>
      </c>
      <c r="M12" s="3">
        <v>0.375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3">
        <v>11</v>
      </c>
      <c r="B13" s="3"/>
      <c r="C13" s="3"/>
      <c r="D13" s="3"/>
      <c r="E13" s="3">
        <f>3+5/8</f>
        <v>3.625</v>
      </c>
      <c r="F13" s="3">
        <v>8</v>
      </c>
      <c r="G13" s="3">
        <v>1</v>
      </c>
      <c r="H13" s="3">
        <f>3+3/4</f>
        <v>3.75</v>
      </c>
      <c r="I13" s="3">
        <v>8</v>
      </c>
      <c r="J13" s="3">
        <v>0.625</v>
      </c>
      <c r="K13" s="3">
        <f>3+3/4</f>
        <v>3.75</v>
      </c>
      <c r="L13" s="3">
        <v>8</v>
      </c>
      <c r="M13" s="3">
        <v>0.5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3">
        <v>12</v>
      </c>
      <c r="B14" s="3"/>
      <c r="C14" s="3"/>
      <c r="D14" s="3"/>
      <c r="E14" s="3">
        <f>3+7/8</f>
        <v>3.875</v>
      </c>
      <c r="F14" s="3">
        <v>8</v>
      </c>
      <c r="G14" s="3">
        <f>1+1/4</f>
        <v>1.25</v>
      </c>
      <c r="H14" s="3">
        <v>4</v>
      </c>
      <c r="I14" s="3">
        <v>8</v>
      </c>
      <c r="J14" s="3">
        <v>0.75</v>
      </c>
      <c r="K14" s="3">
        <f>4+1/8</f>
        <v>4.125</v>
      </c>
      <c r="L14" s="3">
        <v>8</v>
      </c>
      <c r="M14" s="3">
        <v>0.625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3">
        <v>14</v>
      </c>
      <c r="B15" s="3"/>
      <c r="C15" s="3"/>
      <c r="D15" s="3"/>
      <c r="E15" s="3">
        <f>4+3/8</f>
        <v>4.375</v>
      </c>
      <c r="F15" s="3">
        <v>8</v>
      </c>
      <c r="G15" s="3">
        <f>1+1/4</f>
        <v>1.25</v>
      </c>
      <c r="H15" s="3">
        <f>4+1/2</f>
        <v>4.5</v>
      </c>
      <c r="I15" s="3">
        <v>8</v>
      </c>
      <c r="J15" s="3">
        <v>1</v>
      </c>
      <c r="K15" s="3">
        <f>4+5/8</f>
        <v>4.625</v>
      </c>
      <c r="L15" s="3">
        <v>8</v>
      </c>
      <c r="M15" s="3">
        <v>0.875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3">
        <v>15</v>
      </c>
      <c r="B16" s="3"/>
      <c r="C16" s="3"/>
      <c r="D16" s="3"/>
      <c r="E16" s="3">
        <f>4+3/4</f>
        <v>4.75</v>
      </c>
      <c r="F16" s="3">
        <v>8</v>
      </c>
      <c r="G16" s="3">
        <f>1+3/8</f>
        <v>1.375</v>
      </c>
      <c r="H16" s="3">
        <f>4+3/4</f>
        <v>4.75</v>
      </c>
      <c r="I16" s="3">
        <v>8</v>
      </c>
      <c r="J16" s="3">
        <v>1.125</v>
      </c>
      <c r="K16" s="3">
        <f>4+7/8</f>
        <v>4.875</v>
      </c>
      <c r="L16" s="3">
        <v>8</v>
      </c>
      <c r="M16" s="3">
        <v>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3">
        <v>16</v>
      </c>
      <c r="B17" s="3"/>
      <c r="C17" s="3"/>
      <c r="D17" s="3"/>
      <c r="E17" s="3">
        <v>5</v>
      </c>
      <c r="F17" s="3">
        <v>8</v>
      </c>
      <c r="G17" s="3">
        <f>1+1/2</f>
        <v>1.5</v>
      </c>
      <c r="H17" s="3">
        <f>5+1/8</f>
        <v>5.125</v>
      </c>
      <c r="I17" s="3">
        <v>8</v>
      </c>
      <c r="J17" s="3">
        <v>1.25</v>
      </c>
      <c r="K17" s="3">
        <f>5+1/8</f>
        <v>5.125</v>
      </c>
      <c r="L17" s="3">
        <v>8</v>
      </c>
      <c r="M17" s="3">
        <v>1.125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3">
        <v>17</v>
      </c>
      <c r="B18" s="3"/>
      <c r="C18" s="3"/>
      <c r="D18" s="3"/>
      <c r="E18" s="3">
        <f>5+1/4</f>
        <v>5.25</v>
      </c>
      <c r="F18" s="3">
        <v>8</v>
      </c>
      <c r="G18" s="3">
        <f>1+5/8</f>
        <v>1.625</v>
      </c>
      <c r="H18" s="3">
        <f>5+3/8</f>
        <v>5.375</v>
      </c>
      <c r="I18" s="3">
        <v>8</v>
      </c>
      <c r="J18" s="3">
        <v>1.25</v>
      </c>
      <c r="K18" s="3">
        <f>5+1/2</f>
        <v>5.5</v>
      </c>
      <c r="L18" s="3">
        <v>8</v>
      </c>
      <c r="M18" s="3">
        <v>1.25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3">
        <v>18</v>
      </c>
      <c r="B19" s="3"/>
      <c r="C19" s="3"/>
      <c r="D19" s="3"/>
      <c r="E19" s="3">
        <f>5+5/8</f>
        <v>5.625</v>
      </c>
      <c r="F19" s="3">
        <v>8</v>
      </c>
      <c r="G19" s="3">
        <f>1+1/2</f>
        <v>1.5</v>
      </c>
      <c r="H19" s="3">
        <f>5+5/8</f>
        <v>5.625</v>
      </c>
      <c r="I19" s="3">
        <v>8</v>
      </c>
      <c r="J19" s="3">
        <v>1.375</v>
      </c>
      <c r="K19" s="3">
        <f>5+3/4</f>
        <v>5.75</v>
      </c>
      <c r="L19" s="3">
        <v>8</v>
      </c>
      <c r="M19" s="3">
        <v>1.25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3">
        <v>19</v>
      </c>
      <c r="B20" s="3"/>
      <c r="C20" s="3"/>
      <c r="D20" s="3"/>
      <c r="E20" s="3">
        <f>5+7/8</f>
        <v>5.875</v>
      </c>
      <c r="F20" s="3">
        <v>8</v>
      </c>
      <c r="G20" s="3">
        <f>1+5/8</f>
        <v>1.625</v>
      </c>
      <c r="H20" s="3">
        <v>6</v>
      </c>
      <c r="I20" s="3">
        <v>8</v>
      </c>
      <c r="J20" s="3">
        <v>1.5</v>
      </c>
      <c r="K20" s="3">
        <v>6</v>
      </c>
      <c r="L20" s="3">
        <v>8</v>
      </c>
      <c r="M20" s="3">
        <v>1.375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3">
        <v>20</v>
      </c>
      <c r="B21" s="3"/>
      <c r="C21" s="3"/>
      <c r="D21" s="3"/>
      <c r="E21" s="3">
        <f>6+1/8</f>
        <v>6.125</v>
      </c>
      <c r="F21" s="3">
        <v>8</v>
      </c>
      <c r="G21" s="3">
        <f>1+5/8</f>
        <v>1.625</v>
      </c>
      <c r="H21" s="3">
        <f>6+1/4</f>
        <v>6.25</v>
      </c>
      <c r="I21" s="3">
        <v>8</v>
      </c>
      <c r="J21" s="3">
        <v>1.625</v>
      </c>
      <c r="K21" s="3">
        <f>6+3/8</f>
        <v>6.375</v>
      </c>
      <c r="L21" s="3">
        <v>8</v>
      </c>
      <c r="M21" s="3">
        <v>1.5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3">
        <v>21</v>
      </c>
      <c r="B22" s="3"/>
      <c r="C22" s="3"/>
      <c r="D22" s="3"/>
      <c r="E22" s="3">
        <f>6+1/2</f>
        <v>6.5</v>
      </c>
      <c r="F22" s="3">
        <v>8</v>
      </c>
      <c r="G22" s="3">
        <f>1+3/4</f>
        <v>1.75</v>
      </c>
      <c r="H22" s="3">
        <f>6+1/2</f>
        <v>6.5</v>
      </c>
      <c r="I22" s="3">
        <v>8</v>
      </c>
      <c r="J22" s="3">
        <v>1.625</v>
      </c>
      <c r="K22" s="3">
        <f>6+5/8</f>
        <v>6.625</v>
      </c>
      <c r="L22" s="3">
        <v>8</v>
      </c>
      <c r="M22" s="3">
        <v>1.625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3">
        <v>22</v>
      </c>
      <c r="B23" s="3"/>
      <c r="C23" s="3"/>
      <c r="D23" s="3"/>
      <c r="E23" s="3">
        <f>6+3/4</f>
        <v>6.75</v>
      </c>
      <c r="F23" s="3">
        <v>8</v>
      </c>
      <c r="G23" s="3">
        <f>1+7/8</f>
        <v>1.875</v>
      </c>
      <c r="H23" s="3">
        <f>6+7/8</f>
        <v>6.875</v>
      </c>
      <c r="I23" s="3">
        <v>8</v>
      </c>
      <c r="J23" s="3">
        <v>1.75</v>
      </c>
      <c r="K23" s="3">
        <v>7</v>
      </c>
      <c r="L23" s="3">
        <v>8</v>
      </c>
      <c r="M23" s="3">
        <v>1.625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3">
        <v>23</v>
      </c>
      <c r="B24" s="3"/>
      <c r="C24" s="3"/>
      <c r="D24" s="3"/>
      <c r="E24" s="3">
        <v>7</v>
      </c>
      <c r="F24" s="3">
        <v>8</v>
      </c>
      <c r="G24" s="3">
        <v>2</v>
      </c>
      <c r="H24" s="3">
        <f>9+3/8</f>
        <v>9.375</v>
      </c>
      <c r="I24" s="3">
        <v>8</v>
      </c>
      <c r="J24" s="3">
        <v>1.875</v>
      </c>
      <c r="K24" s="3">
        <f>7+1/4</f>
        <v>7.25</v>
      </c>
      <c r="L24" s="3">
        <v>8</v>
      </c>
      <c r="M24" s="3">
        <v>1.875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3">
        <v>24</v>
      </c>
      <c r="B25" s="3"/>
      <c r="C25" s="3"/>
      <c r="D25" s="3"/>
      <c r="E25" s="3">
        <f>7+3/8</f>
        <v>7.375</v>
      </c>
      <c r="F25" s="3">
        <v>8</v>
      </c>
      <c r="G25" s="3">
        <f>2+1/8</f>
        <v>2.125</v>
      </c>
      <c r="H25" s="3">
        <f>7+3/8</f>
        <v>7.375</v>
      </c>
      <c r="I25" s="3">
        <v>8</v>
      </c>
      <c r="J25" s="3">
        <v>2</v>
      </c>
      <c r="K25" s="3">
        <f>7+1/2</f>
        <v>7.5</v>
      </c>
      <c r="L25" s="3">
        <v>8</v>
      </c>
      <c r="M25" s="3">
        <v>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3">
        <v>25</v>
      </c>
      <c r="B26" s="3"/>
      <c r="C26" s="3"/>
      <c r="D26" s="3"/>
      <c r="E26" s="3">
        <f>7+5/6</f>
        <v>7.833333333333333</v>
      </c>
      <c r="F26" s="3">
        <v>8</v>
      </c>
      <c r="G26" s="3">
        <f>2+1/8</f>
        <v>2.125</v>
      </c>
      <c r="H26" s="3">
        <f>7+3/4</f>
        <v>7.75</v>
      </c>
      <c r="I26" s="3">
        <v>8</v>
      </c>
      <c r="J26" s="3">
        <f>2+1/8</f>
        <v>2.125</v>
      </c>
      <c r="K26" s="3">
        <f>7+7/8</f>
        <v>7.875</v>
      </c>
      <c r="L26" s="3">
        <v>8</v>
      </c>
      <c r="M26" s="3">
        <f>2+1/8</f>
        <v>2.125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3">
        <v>26</v>
      </c>
      <c r="B27" s="3"/>
      <c r="C27" s="3"/>
      <c r="D27" s="3"/>
      <c r="E27" s="3">
        <f>7+7/8</f>
        <v>7.875</v>
      </c>
      <c r="F27" s="3">
        <v>8</v>
      </c>
      <c r="G27" s="3">
        <f>2+1/4</f>
        <v>2.25</v>
      </c>
      <c r="H27" s="3">
        <v>8</v>
      </c>
      <c r="I27" s="3">
        <v>8</v>
      </c>
      <c r="J27" s="3">
        <f>2+1/8</f>
        <v>2.125</v>
      </c>
      <c r="K27" s="3">
        <f>8+1/2</f>
        <v>8.5</v>
      </c>
      <c r="L27" s="3">
        <v>8</v>
      </c>
      <c r="M27" s="3">
        <f>2+1/8</f>
        <v>2.125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3">
        <v>27</v>
      </c>
      <c r="B28" s="3"/>
      <c r="C28" s="3"/>
      <c r="D28" s="3"/>
      <c r="E28" s="3"/>
      <c r="F28" s="3"/>
      <c r="G28" s="3"/>
      <c r="H28" s="3">
        <f>8+1/4</f>
        <v>8.25</v>
      </c>
      <c r="I28" s="3">
        <v>8</v>
      </c>
      <c r="J28" s="3">
        <f>2+1/4</f>
        <v>2.25</v>
      </c>
      <c r="K28" s="3">
        <f>8+3/4</f>
        <v>8.75</v>
      </c>
      <c r="L28" s="3">
        <v>8</v>
      </c>
      <c r="M28" s="3">
        <f>2+1/8</f>
        <v>2.125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3">
        <v>28</v>
      </c>
      <c r="B29" s="3"/>
      <c r="C29" s="3"/>
      <c r="D29" s="3"/>
      <c r="E29" s="3"/>
      <c r="F29" s="3"/>
      <c r="G29" s="3"/>
      <c r="H29" s="3">
        <f>8+5/8</f>
        <v>8.625</v>
      </c>
      <c r="I29" s="3">
        <v>8</v>
      </c>
      <c r="J29" s="3">
        <f>2+3/8</f>
        <v>2.375</v>
      </c>
      <c r="K29" s="3">
        <f>9+1/8</f>
        <v>9.125</v>
      </c>
      <c r="L29" s="3">
        <v>8</v>
      </c>
      <c r="M29" s="3">
        <f>2+1/4</f>
        <v>2.25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3">
        <v>29</v>
      </c>
      <c r="B30" s="3"/>
      <c r="C30" s="3"/>
      <c r="D30" s="3"/>
      <c r="E30" s="3"/>
      <c r="F30" s="3"/>
      <c r="G30" s="3"/>
      <c r="H30" s="3">
        <f>8+7/8</f>
        <v>8.875</v>
      </c>
      <c r="I30" s="3">
        <v>8</v>
      </c>
      <c r="J30" s="3">
        <f>3/2</f>
        <v>1.5</v>
      </c>
      <c r="K30" s="3">
        <v>9</v>
      </c>
      <c r="L30" s="3">
        <v>8</v>
      </c>
      <c r="M30" s="3">
        <f>2+3/8</f>
        <v>2.375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3">
        <v>30</v>
      </c>
      <c r="B31" s="3"/>
      <c r="C31" s="3"/>
      <c r="D31" s="3"/>
      <c r="F31" s="3"/>
      <c r="G31" s="3"/>
      <c r="H31" s="3">
        <f>9+1/4</f>
        <v>9.25</v>
      </c>
      <c r="I31" s="3">
        <v>8</v>
      </c>
      <c r="J31" s="3">
        <f>2+5/8</f>
        <v>2.625</v>
      </c>
      <c r="K31" s="3">
        <f>9+1/4</f>
        <v>9.25</v>
      </c>
      <c r="L31" s="3">
        <v>8</v>
      </c>
      <c r="M31" s="3">
        <f>2+1/2</f>
        <v>2.5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6" spans="2:2" x14ac:dyDescent="0.3">
      <c r="B36" s="3"/>
    </row>
    <row r="64" spans="2:2" x14ac:dyDescent="0.3">
      <c r="B64" s="36"/>
    </row>
    <row r="69" spans="2:2" x14ac:dyDescent="0.3">
      <c r="B69" s="37"/>
    </row>
    <row r="105" spans="2:2" x14ac:dyDescent="0.3">
      <c r="B105" s="36"/>
    </row>
    <row r="182" spans="2:2" x14ac:dyDescent="0.3">
      <c r="B182" s="37"/>
    </row>
    <row r="183" spans="2:2" x14ac:dyDescent="0.3">
      <c r="B183" s="37"/>
    </row>
    <row r="222" spans="2:2" x14ac:dyDescent="0.3">
      <c r="B222" s="37"/>
    </row>
    <row r="224" spans="2:2" x14ac:dyDescent="0.3">
      <c r="B224" s="37"/>
    </row>
  </sheetData>
  <mergeCells count="10">
    <mergeCell ref="Q1:S1"/>
    <mergeCell ref="T1:V1"/>
    <mergeCell ref="W1:Y1"/>
    <mergeCell ref="Z1:AB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B225"/>
  <sheetViews>
    <sheetView topLeftCell="T1" workbookViewId="0">
      <selection activeCell="AC6" sqref="AC6"/>
    </sheetView>
  </sheetViews>
  <sheetFormatPr defaultColWidth="9.109375" defaultRowHeight="14.4" x14ac:dyDescent="0.3"/>
  <cols>
    <col min="1" max="1" width="9.109375" style="3"/>
    <col min="2" max="4" width="7.33203125" style="4" bestFit="1" customWidth="1"/>
    <col min="5" max="16384" width="9.109375" style="4"/>
  </cols>
  <sheetData>
    <row r="1" spans="1:28" s="3" customFormat="1" x14ac:dyDescent="0.3">
      <c r="A1" s="82" t="s">
        <v>166</v>
      </c>
      <c r="B1" s="81">
        <v>1</v>
      </c>
      <c r="C1" s="81"/>
      <c r="D1" s="81"/>
      <c r="E1" s="81">
        <v>1.5</v>
      </c>
      <c r="F1" s="81"/>
      <c r="G1" s="81"/>
      <c r="H1" s="81">
        <v>2</v>
      </c>
      <c r="I1" s="81"/>
      <c r="J1" s="81"/>
      <c r="K1" s="81">
        <v>2.5</v>
      </c>
      <c r="L1" s="81"/>
      <c r="M1" s="81"/>
      <c r="N1" s="81">
        <v>3</v>
      </c>
      <c r="O1" s="81"/>
      <c r="P1" s="81"/>
      <c r="Q1" s="81">
        <v>3.5</v>
      </c>
      <c r="R1" s="81"/>
      <c r="S1" s="81"/>
      <c r="T1" s="81">
        <v>4</v>
      </c>
      <c r="U1" s="81"/>
      <c r="V1" s="81"/>
      <c r="W1" s="81">
        <v>4.5</v>
      </c>
      <c r="X1" s="81"/>
      <c r="Y1" s="81"/>
      <c r="Z1" s="81">
        <v>5</v>
      </c>
      <c r="AA1" s="81"/>
      <c r="AB1" s="81"/>
    </row>
    <row r="2" spans="1:28" x14ac:dyDescent="0.3">
      <c r="A2" s="82"/>
      <c r="B2" s="3" t="s">
        <v>167</v>
      </c>
      <c r="C2" s="3" t="s">
        <v>168</v>
      </c>
      <c r="D2" s="3" t="s">
        <v>106</v>
      </c>
      <c r="E2" s="3" t="s">
        <v>167</v>
      </c>
      <c r="F2" s="3" t="s">
        <v>168</v>
      </c>
      <c r="G2" s="3" t="s">
        <v>106</v>
      </c>
      <c r="H2" s="3" t="s">
        <v>167</v>
      </c>
      <c r="I2" s="3" t="s">
        <v>168</v>
      </c>
      <c r="J2" s="3" t="s">
        <v>106</v>
      </c>
      <c r="K2" s="3" t="s">
        <v>167</v>
      </c>
      <c r="L2" s="3" t="s">
        <v>168</v>
      </c>
      <c r="M2" s="3" t="s">
        <v>106</v>
      </c>
      <c r="N2" s="3" t="s">
        <v>167</v>
      </c>
      <c r="O2" s="3" t="s">
        <v>168</v>
      </c>
      <c r="P2" s="3" t="s">
        <v>106</v>
      </c>
      <c r="Q2" s="3" t="s">
        <v>167</v>
      </c>
      <c r="R2" s="3" t="s">
        <v>168</v>
      </c>
      <c r="S2" s="3" t="s">
        <v>106</v>
      </c>
      <c r="T2" s="3" t="s">
        <v>167</v>
      </c>
      <c r="U2" s="3" t="s">
        <v>168</v>
      </c>
      <c r="V2" s="3" t="s">
        <v>106</v>
      </c>
      <c r="W2" s="3" t="s">
        <v>167</v>
      </c>
      <c r="X2" s="3" t="s">
        <v>168</v>
      </c>
      <c r="Y2" s="3" t="s">
        <v>106</v>
      </c>
      <c r="Z2" s="3" t="s">
        <v>167</v>
      </c>
      <c r="AA2" s="3" t="s">
        <v>168</v>
      </c>
      <c r="AB2" s="3" t="s">
        <v>106</v>
      </c>
    </row>
    <row r="3" spans="1:28" x14ac:dyDescent="0.3">
      <c r="A3" s="42">
        <v>2.5</v>
      </c>
      <c r="B3" s="3">
        <f>2+13/32</f>
        <v>2.40625</v>
      </c>
      <c r="C3" s="3">
        <v>4</v>
      </c>
      <c r="D3" s="3">
        <f>15/32</f>
        <v>0.46875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3">
        <v>3</v>
      </c>
      <c r="B4" s="3">
        <f>2+7/8</f>
        <v>2.875</v>
      </c>
      <c r="C4" s="3">
        <v>4</v>
      </c>
      <c r="D4" s="3">
        <v>0.75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3">
        <v>3.5</v>
      </c>
      <c r="B5" s="3">
        <f>3+1/8</f>
        <v>3.125</v>
      </c>
      <c r="C5" s="3">
        <v>4</v>
      </c>
      <c r="D5" s="3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3">
        <v>4</v>
      </c>
      <c r="B6" s="3">
        <f>2+3/8</f>
        <v>2.375</v>
      </c>
      <c r="C6" s="3">
        <v>6</v>
      </c>
      <c r="D6" s="3">
        <v>0.75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3">
        <v>4.5</v>
      </c>
      <c r="B7" s="3">
        <f>2+5/8</f>
        <v>2.625</v>
      </c>
      <c r="C7" s="3">
        <v>6</v>
      </c>
      <c r="D7" s="3">
        <f>7/8</f>
        <v>0.875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3">
        <v>5</v>
      </c>
      <c r="B8" s="3">
        <v>3</v>
      </c>
      <c r="C8" s="3">
        <v>6</v>
      </c>
      <c r="D8" s="3">
        <v>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3">
        <v>6</v>
      </c>
      <c r="B9" s="3">
        <v>3.5</v>
      </c>
      <c r="C9" s="3">
        <v>6</v>
      </c>
      <c r="D9" s="3">
        <f>5/4</f>
        <v>1.25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3">
        <v>30</v>
      </c>
      <c r="B32" s="3"/>
      <c r="C32" s="3"/>
      <c r="D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2:28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7" spans="2:28" x14ac:dyDescent="0.3">
      <c r="B37" s="3"/>
    </row>
    <row r="65" spans="2:2" x14ac:dyDescent="0.3">
      <c r="B65" s="36"/>
    </row>
    <row r="70" spans="2:2" x14ac:dyDescent="0.3">
      <c r="B70" s="37"/>
    </row>
    <row r="106" spans="2:2" x14ac:dyDescent="0.3">
      <c r="B106" s="36"/>
    </row>
    <row r="183" spans="2:2" x14ac:dyDescent="0.3">
      <c r="B183" s="37"/>
    </row>
    <row r="184" spans="2:2" x14ac:dyDescent="0.3">
      <c r="B184" s="37"/>
    </row>
    <row r="223" spans="2:2" x14ac:dyDescent="0.3">
      <c r="B223" s="37"/>
    </row>
    <row r="225" spans="2:2" x14ac:dyDescent="0.3">
      <c r="B225" s="37"/>
    </row>
  </sheetData>
  <mergeCells count="10">
    <mergeCell ref="Q1:S1"/>
    <mergeCell ref="T1:V1"/>
    <mergeCell ref="W1:Y1"/>
    <mergeCell ref="Z1:AB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Frac Decmial</vt:lpstr>
      <vt:lpstr>End Caps</vt:lpstr>
      <vt:lpstr>Flanges</vt:lpstr>
      <vt:lpstr>Sheet2</vt:lpstr>
      <vt:lpstr>Circle Weights</vt:lpstr>
      <vt:lpstr>Metal Bands</vt:lpstr>
      <vt:lpstr>Elbow</vt:lpstr>
      <vt:lpstr>Flange Size</vt:lpstr>
      <vt:lpstr>Copper Tubing</vt:lpstr>
      <vt:lpstr>Iron Pipe Size</vt:lpstr>
      <vt:lpstr>Sheet1</vt:lpstr>
      <vt:lpstr>Electrical Metalic Tubing</vt:lpstr>
      <vt:lpstr>Copper Tube</vt:lpstr>
      <vt:lpstr>ELL-JACS</vt:lpstr>
      <vt:lpstr>Abbreviations</vt:lpstr>
      <vt:lpstr>Jacketing</vt:lpstr>
      <vt:lpstr>Short Radius Mitered Elbow</vt:lpstr>
      <vt:lpstr>Long Radius Mitered Elbow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Snow</dc:creator>
  <cp:lastModifiedBy>Katie Snow</cp:lastModifiedBy>
  <cp:lastPrinted>2025-11-27T16:48:28Z</cp:lastPrinted>
  <dcterms:created xsi:type="dcterms:W3CDTF">2015-07-22T02:23:01Z</dcterms:created>
  <dcterms:modified xsi:type="dcterms:W3CDTF">2026-06-02T18:44:58Z</dcterms:modified>
</cp:coreProperties>
</file>
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nowman\Dropbox\Insulator Book (In progress)\"/>
    </mc:Choice>
  </mc:AlternateContent>
  <bookViews>
    <workbookView xWindow="0" yWindow="0" windowWidth="21540" windowHeight="8145" firstSheet="4" activeTab="9"/>
  </bookViews>
  <sheets>
    <sheet name="Flanges" sheetId="1" r:id="rId1"/>
    <sheet name="Sheet2" sheetId="2" r:id="rId2"/>
    <sheet name="Metal Bands" sheetId="3" r:id="rId3"/>
    <sheet name="Elbow" sheetId="4" r:id="rId4"/>
    <sheet name="Flange Size" sheetId="5" r:id="rId5"/>
    <sheet name="Copper Tubing" sheetId="6" r:id="rId6"/>
    <sheet name="Iron Pipe Size" sheetId="7" r:id="rId7"/>
    <sheet name="Copper Tube" sheetId="8" r:id="rId8"/>
    <sheet name="ELL-JACS" sheetId="9" r:id="rId9"/>
    <sheet name="Abbreviation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3" l="1"/>
  <c r="D42" i="3"/>
  <c r="D43" i="3"/>
  <c r="D44" i="3"/>
  <c r="D45" i="3"/>
  <c r="D46" i="3"/>
  <c r="D47" i="3"/>
  <c r="D48" i="3"/>
  <c r="D40" i="3"/>
  <c r="D35" i="3"/>
  <c r="D36" i="3"/>
  <c r="D37" i="3"/>
  <c r="D38" i="3"/>
  <c r="D39" i="3"/>
  <c r="D34" i="3"/>
  <c r="D30" i="3"/>
  <c r="D31" i="3"/>
  <c r="D32" i="3"/>
  <c r="D33" i="3"/>
  <c r="D29" i="3"/>
  <c r="D16" i="3"/>
  <c r="D17" i="3"/>
  <c r="D18" i="3"/>
  <c r="D19" i="3"/>
  <c r="D15" i="3"/>
  <c r="D13" i="3"/>
  <c r="D14" i="3"/>
  <c r="D12" i="3"/>
  <c r="D5" i="3"/>
  <c r="D4" i="3"/>
  <c r="D3" i="3"/>
  <c r="D2" i="3"/>
  <c r="C31" i="3"/>
  <c r="C32" i="3"/>
  <c r="C33" i="3"/>
  <c r="C34" i="3"/>
  <c r="C35" i="3"/>
  <c r="C36" i="3"/>
  <c r="C37" i="3"/>
  <c r="C38" i="3"/>
  <c r="C39" i="3"/>
  <c r="C30" i="3"/>
  <c r="C21" i="3"/>
  <c r="C22" i="3"/>
  <c r="C23" i="3"/>
  <c r="C24" i="3"/>
  <c r="C25" i="3"/>
  <c r="C26" i="3"/>
  <c r="C27" i="3"/>
  <c r="C28" i="3"/>
  <c r="C29" i="3"/>
  <c r="C20" i="3"/>
  <c r="B6" i="2" l="1"/>
  <c r="B5" i="2"/>
  <c r="B4" i="2"/>
  <c r="B3" i="2"/>
</calcChain>
</file>

<file path=xl/sharedStrings.xml><?xml version="1.0" encoding="utf-8"?>
<sst xmlns="http://schemas.openxmlformats.org/spreadsheetml/2006/main" count="369" uniqueCount="137">
  <si>
    <t>Pipe Size</t>
  </si>
  <si>
    <t>150 #</t>
  </si>
  <si>
    <t>300 #</t>
  </si>
  <si>
    <t>400 #</t>
  </si>
  <si>
    <t>600 #</t>
  </si>
  <si>
    <t>900 #</t>
  </si>
  <si>
    <t>1500 #</t>
  </si>
  <si>
    <t>1"</t>
  </si>
  <si>
    <t>1 1/2"</t>
  </si>
  <si>
    <t>2"</t>
  </si>
  <si>
    <t>2 1/2"</t>
  </si>
  <si>
    <t>3"</t>
  </si>
  <si>
    <t>3 1/2"</t>
  </si>
  <si>
    <t>4"</t>
  </si>
  <si>
    <t>X</t>
  </si>
  <si>
    <t>N</t>
  </si>
  <si>
    <t>Y</t>
  </si>
  <si>
    <t>4 1/2"</t>
  </si>
  <si>
    <t>5"</t>
  </si>
  <si>
    <t>Thickness</t>
  </si>
  <si>
    <t>Diameter</t>
  </si>
  <si>
    <t>Metal Length</t>
  </si>
  <si>
    <t>Band Length</t>
  </si>
  <si>
    <t>Lap</t>
  </si>
  <si>
    <t>90 Degree Elbows</t>
  </si>
  <si>
    <t>Iron Pipe Size</t>
  </si>
  <si>
    <t>Insulation Thickness</t>
  </si>
  <si>
    <t>-</t>
  </si>
  <si>
    <t>Jacketing and 45 Degree Elbows</t>
  </si>
  <si>
    <t>24"</t>
  </si>
  <si>
    <t>22"</t>
  </si>
  <si>
    <t>20"</t>
  </si>
  <si>
    <t>18"</t>
  </si>
  <si>
    <t>16"</t>
  </si>
  <si>
    <t>14"</t>
  </si>
  <si>
    <t>12"</t>
  </si>
  <si>
    <t>10"</t>
  </si>
  <si>
    <t>8"</t>
  </si>
  <si>
    <t>6"</t>
  </si>
  <si>
    <t>#23</t>
  </si>
  <si>
    <t>#22</t>
  </si>
  <si>
    <t>1 1/4"</t>
  </si>
  <si>
    <t>3/4"</t>
  </si>
  <si>
    <t>19#</t>
  </si>
  <si>
    <t>#18</t>
  </si>
  <si>
    <t>#17</t>
  </si>
  <si>
    <t>#15</t>
  </si>
  <si>
    <t>#12</t>
  </si>
  <si>
    <t>1/2"</t>
  </si>
  <si>
    <t>#9</t>
  </si>
  <si>
    <t>#7</t>
  </si>
  <si>
    <t>#2</t>
  </si>
  <si>
    <t>3/8"</t>
  </si>
  <si>
    <t>5 1/2"</t>
  </si>
  <si>
    <t>3/12"</t>
  </si>
  <si>
    <t>OCF</t>
  </si>
  <si>
    <t>6 1/8"</t>
  </si>
  <si>
    <t>5 1/8"</t>
  </si>
  <si>
    <t>4 1/8"</t>
  </si>
  <si>
    <t>3 5/8"</t>
  </si>
  <si>
    <t>3 1/8"</t>
  </si>
  <si>
    <t>2 5/8"</t>
  </si>
  <si>
    <t>2 1/8"</t>
  </si>
  <si>
    <t>1 5/8"</t>
  </si>
  <si>
    <t>1 3/8"</t>
  </si>
  <si>
    <t>1 1/8"</t>
  </si>
  <si>
    <t>#19</t>
  </si>
  <si>
    <t>7/8"</t>
  </si>
  <si>
    <t>5/8"</t>
  </si>
  <si>
    <t>#13</t>
  </si>
  <si>
    <t>#11</t>
  </si>
  <si>
    <t>#5</t>
  </si>
  <si>
    <t>Actual OD</t>
  </si>
  <si>
    <t>Copper Tubing Size</t>
  </si>
  <si>
    <t>Copper Tube Table</t>
  </si>
  <si>
    <t>GORE</t>
  </si>
  <si>
    <t>inch</t>
  </si>
  <si>
    <t>mm</t>
  </si>
  <si>
    <t>45° Aluminum ELL-JACS</t>
  </si>
  <si>
    <t>90 ° Aluminum ELL-JACS</t>
  </si>
  <si>
    <t>OD</t>
  </si>
  <si>
    <t>OC</t>
  </si>
  <si>
    <t>ID</t>
  </si>
  <si>
    <t>OLS</t>
  </si>
  <si>
    <t>ILS</t>
  </si>
  <si>
    <t>CL</t>
  </si>
  <si>
    <t xml:space="preserve">Center Line — - — - — - — - </t>
  </si>
  <si>
    <t>TOC</t>
  </si>
  <si>
    <t>Top of Concrete</t>
  </si>
  <si>
    <t>PSV</t>
  </si>
  <si>
    <t>Pressure Safety Valve</t>
  </si>
  <si>
    <t>TCV</t>
  </si>
  <si>
    <t>Temperature Control Valve</t>
  </si>
  <si>
    <t>TRC</t>
  </si>
  <si>
    <t>Temperature Recorder Controller</t>
  </si>
  <si>
    <t>FRC</t>
  </si>
  <si>
    <t>Flow recorder Controller</t>
  </si>
  <si>
    <t>DPI</t>
  </si>
  <si>
    <t>Delta Pressure Indicator</t>
  </si>
  <si>
    <t>DPSH</t>
  </si>
  <si>
    <t>Delta Pressure Suction Head</t>
  </si>
  <si>
    <t>TIC</t>
  </si>
  <si>
    <t>Temperature Indicator Controller</t>
  </si>
  <si>
    <t>LRC</t>
  </si>
  <si>
    <t>Level Recording Controller</t>
  </si>
  <si>
    <t>PC</t>
  </si>
  <si>
    <t>Pressure Controller</t>
  </si>
  <si>
    <t>TI</t>
  </si>
  <si>
    <t>Temperature Indicator</t>
  </si>
  <si>
    <t>FOF</t>
  </si>
  <si>
    <t xml:space="preserve"> Flush on Face</t>
  </si>
  <si>
    <t>TOS</t>
  </si>
  <si>
    <t>Top of Steel</t>
  </si>
  <si>
    <t>LCV</t>
  </si>
  <si>
    <t>Level Control Valve</t>
  </si>
  <si>
    <t>LG</t>
  </si>
  <si>
    <t>Level Gauge</t>
  </si>
  <si>
    <t>LC</t>
  </si>
  <si>
    <t>Level Control</t>
  </si>
  <si>
    <t>FI</t>
  </si>
  <si>
    <t>Flow Indicator</t>
  </si>
  <si>
    <t>FR</t>
  </si>
  <si>
    <t>Flow Recorder</t>
  </si>
  <si>
    <t>LA</t>
  </si>
  <si>
    <t>Level Alarm</t>
  </si>
  <si>
    <t>PI</t>
  </si>
  <si>
    <t>Pressure Indicator</t>
  </si>
  <si>
    <t>T</t>
  </si>
  <si>
    <t>Steam Trap</t>
  </si>
  <si>
    <t>FW</t>
  </si>
  <si>
    <t>Field Weld</t>
  </si>
  <si>
    <t>BD</t>
  </si>
  <si>
    <t>Blow Down</t>
  </si>
  <si>
    <t>PM</t>
  </si>
  <si>
    <t>Process Module (Piping Mod)</t>
  </si>
  <si>
    <t>SB</t>
  </si>
  <si>
    <t>Stick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</si>
</sst>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/>
      <top/>
      <bottom/>
      <diagonal/>
    </border>
    <border>
      <left/>
      <right/>
      <top style="thin">
        <color rgb="FF1F497D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2" fontId="0" fillId="0" borderId="0" xfId="0" applyNumberFormat="1"/>
    <xf numFmtId="1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2" fontId="0" fillId="0" borderId="1" xfId="0" applyNumberFormat="1" applyBorder="1"/>
    <xf numFmtId="12" fontId="0" fillId="0" borderId="1" xfId="0" applyNumberFormat="1" applyBorder="1" applyAlignment="1">
      <alignment horizontal="center" vertical="center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2" fontId="1" fillId="0" borderId="1" xfId="0" applyNumberFormat="1" applyFont="1" applyBorder="1" applyAlignment="1">
      <alignment horizontal="center" vertical="center" wrapText="1"/>
    </xf>
    <xf numFmtId="1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I1" sqref="I1"/>
    </sheetView>
  </sheetViews>
  <sheetFormatPr defaultRowHeight="15" x14ac:dyDescent="0.25"/>
  <cols>
    <col min="1" max="1" width="9" bestFit="1" customWidth="1"/>
    <col min="2" max="4" width="5.42578125" bestFit="1" customWidth="1"/>
    <col min="5" max="6" width="6" bestFit="1" customWidth="1"/>
    <col min="7" max="7" width="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6</v>
      </c>
      <c r="C2">
        <v>6.5</v>
      </c>
      <c r="D2">
        <v>6.5</v>
      </c>
      <c r="E2">
        <v>6.5</v>
      </c>
      <c r="F2">
        <v>8.5</v>
      </c>
      <c r="G2">
        <v>8.5</v>
      </c>
    </row>
    <row r="3" spans="1:7" x14ac:dyDescent="0.25">
      <c r="A3">
        <v>3</v>
      </c>
      <c r="B3">
        <v>7.5</v>
      </c>
      <c r="C3">
        <v>8.25</v>
      </c>
      <c r="D3">
        <v>8.25</v>
      </c>
      <c r="E3">
        <v>8.25</v>
      </c>
      <c r="F3">
        <v>9.5</v>
      </c>
      <c r="G3">
        <v>10.5</v>
      </c>
    </row>
    <row r="4" spans="1:7" x14ac:dyDescent="0.25">
      <c r="A4">
        <v>4</v>
      </c>
      <c r="B4">
        <v>9</v>
      </c>
      <c r="C4">
        <v>10</v>
      </c>
      <c r="D4">
        <v>10</v>
      </c>
      <c r="E4">
        <v>10.75</v>
      </c>
      <c r="F4">
        <v>11.5</v>
      </c>
      <c r="G4">
        <v>12.25</v>
      </c>
    </row>
    <row r="5" spans="1:7" x14ac:dyDescent="0.25">
      <c r="A5">
        <v>5</v>
      </c>
      <c r="B5">
        <v>10</v>
      </c>
      <c r="C5">
        <v>11</v>
      </c>
      <c r="D5">
        <v>11</v>
      </c>
      <c r="E5">
        <v>13</v>
      </c>
      <c r="F5">
        <v>13.75</v>
      </c>
      <c r="G5">
        <v>14.75</v>
      </c>
    </row>
    <row r="6" spans="1:7" x14ac:dyDescent="0.25">
      <c r="A6">
        <v>6</v>
      </c>
      <c r="B6">
        <v>11</v>
      </c>
      <c r="C6">
        <v>12.5</v>
      </c>
      <c r="D6">
        <v>12.5</v>
      </c>
      <c r="E6">
        <v>14</v>
      </c>
      <c r="F6">
        <v>15</v>
      </c>
      <c r="G6">
        <v>15.5</v>
      </c>
    </row>
    <row r="7" spans="1:7" x14ac:dyDescent="0.25">
      <c r="A7">
        <v>8</v>
      </c>
      <c r="B7">
        <v>13.5</v>
      </c>
      <c r="C7">
        <v>15</v>
      </c>
      <c r="D7">
        <v>15.5</v>
      </c>
      <c r="E7">
        <v>16.5</v>
      </c>
      <c r="F7">
        <v>18.5</v>
      </c>
      <c r="G7">
        <v>19</v>
      </c>
    </row>
    <row r="8" spans="1:7" x14ac:dyDescent="0.25">
      <c r="A8">
        <v>10</v>
      </c>
      <c r="B8">
        <v>16</v>
      </c>
      <c r="C8">
        <v>17.5</v>
      </c>
      <c r="D8">
        <v>17.5</v>
      </c>
      <c r="E8">
        <v>20</v>
      </c>
      <c r="F8">
        <v>21.5</v>
      </c>
      <c r="G8">
        <v>23</v>
      </c>
    </row>
    <row r="9" spans="1:7" x14ac:dyDescent="0.25">
      <c r="A9">
        <v>12</v>
      </c>
      <c r="B9">
        <v>19</v>
      </c>
      <c r="C9">
        <v>20.5</v>
      </c>
      <c r="D9">
        <v>20.5</v>
      </c>
      <c r="E9">
        <v>22</v>
      </c>
      <c r="F9">
        <v>24</v>
      </c>
      <c r="G9">
        <v>26.5</v>
      </c>
    </row>
    <row r="10" spans="1:7" x14ac:dyDescent="0.25">
      <c r="A10">
        <v>14</v>
      </c>
      <c r="B10">
        <v>21</v>
      </c>
      <c r="C10">
        <v>23</v>
      </c>
      <c r="D10">
        <v>23</v>
      </c>
      <c r="E10">
        <v>23.75</v>
      </c>
      <c r="F10">
        <v>25.25</v>
      </c>
      <c r="G10">
        <v>29.5</v>
      </c>
    </row>
    <row r="11" spans="1:7" x14ac:dyDescent="0.25">
      <c r="A11">
        <v>16</v>
      </c>
      <c r="B11">
        <v>23.5</v>
      </c>
      <c r="C11">
        <v>25.5</v>
      </c>
      <c r="D11">
        <v>25.5</v>
      </c>
      <c r="E11">
        <v>27</v>
      </c>
      <c r="F11">
        <v>27.75</v>
      </c>
      <c r="G11">
        <v>32.5</v>
      </c>
    </row>
    <row r="12" spans="1:7" x14ac:dyDescent="0.25">
      <c r="A12">
        <v>18</v>
      </c>
      <c r="B12">
        <v>25</v>
      </c>
      <c r="C12">
        <v>28</v>
      </c>
      <c r="D12">
        <v>28</v>
      </c>
      <c r="E12">
        <v>29.25</v>
      </c>
      <c r="F12">
        <v>31</v>
      </c>
      <c r="G12">
        <v>36</v>
      </c>
    </row>
    <row r="13" spans="1:7" x14ac:dyDescent="0.25">
      <c r="A13">
        <v>20</v>
      </c>
      <c r="B13">
        <v>27.5</v>
      </c>
      <c r="C13">
        <v>30.5</v>
      </c>
      <c r="D13">
        <v>30.5</v>
      </c>
      <c r="E13">
        <v>32</v>
      </c>
      <c r="F13">
        <v>33.75</v>
      </c>
      <c r="G13">
        <v>38.75</v>
      </c>
    </row>
    <row r="14" spans="1:7" x14ac:dyDescent="0.25">
      <c r="A14">
        <v>24</v>
      </c>
      <c r="B14">
        <v>32</v>
      </c>
      <c r="C14">
        <v>36</v>
      </c>
      <c r="D14">
        <v>36</v>
      </c>
      <c r="E14">
        <v>37</v>
      </c>
      <c r="F14">
        <v>41</v>
      </c>
      <c r="G14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workbookViewId="0">
      <selection activeCell="H8" sqref="H8"/>
    </sheetView>
  </sheetViews>
  <sheetFormatPr defaultRowHeight="15" x14ac:dyDescent="0.25"/>
  <cols>
    <col min="1" max="1" width="5.7109375" customWidth="1"/>
    <col min="2" max="2" width="6" style="1" bestFit="1" customWidth="1"/>
    <col min="3" max="4" width="5.28515625" style="1" bestFit="1" customWidth="1"/>
    <col min="5" max="5" width="2.140625" style="1" bestFit="1" customWidth="1"/>
    <col min="6" max="6" width="2.42578125" style="1" bestFit="1" customWidth="1"/>
    <col min="7" max="7" width="2" style="1" bestFit="1" customWidth="1"/>
    <col min="8" max="8" width="2.140625" style="1" bestFit="1" customWidth="1"/>
    <col min="9" max="9" width="2.42578125" style="1" bestFit="1" customWidth="1"/>
    <col min="10" max="10" width="2" style="1" bestFit="1" customWidth="1"/>
    <col min="11" max="11" width="2.140625" style="1" bestFit="1" customWidth="1"/>
    <col min="12" max="12" width="2.42578125" style="1" bestFit="1" customWidth="1"/>
    <col min="13" max="13" width="2" style="1" bestFit="1" customWidth="1"/>
    <col min="14" max="14" width="2.140625" style="1" bestFit="1" customWidth="1"/>
    <col min="15" max="15" width="2.42578125" style="1" bestFit="1" customWidth="1"/>
    <col min="16" max="16" width="2" style="1" bestFit="1" customWidth="1"/>
    <col min="17" max="17" width="2.140625" style="1" bestFit="1" customWidth="1"/>
    <col min="18" max="18" width="2.42578125" style="1" bestFit="1" customWidth="1"/>
    <col min="19" max="19" width="2" style="1" bestFit="1" customWidth="1"/>
    <col min="20" max="20" width="2.140625" style="1" bestFit="1" customWidth="1"/>
    <col min="21" max="21" width="2.42578125" style="1" bestFit="1" customWidth="1"/>
    <col min="22" max="22" width="2" style="1" bestFit="1" customWidth="1"/>
    <col min="23" max="23" width="2.140625" style="1" bestFit="1" customWidth="1"/>
    <col min="24" max="24" width="2.42578125" style="1" bestFit="1" customWidth="1"/>
    <col min="25" max="25" width="2" style="1" bestFit="1" customWidth="1"/>
    <col min="26" max="26" width="2.140625" style="1" bestFit="1" customWidth="1"/>
    <col min="27" max="27" width="2.42578125" style="1" bestFit="1" customWidth="1"/>
    <col min="28" max="28" width="2" style="1" bestFit="1" customWidth="1"/>
  </cols>
  <sheetData>
    <row r="1" spans="1:28" x14ac:dyDescent="0.25">
      <c r="A1" s="8" t="s">
        <v>0</v>
      </c>
      <c r="B1" s="7" t="s">
        <v>7</v>
      </c>
      <c r="C1" s="7"/>
      <c r="D1" s="7"/>
      <c r="E1" s="7" t="s">
        <v>8</v>
      </c>
      <c r="F1" s="7"/>
      <c r="G1" s="7"/>
      <c r="H1" s="7" t="s">
        <v>9</v>
      </c>
      <c r="I1" s="7"/>
      <c r="J1" s="7"/>
      <c r="K1" s="7" t="s">
        <v>10</v>
      </c>
      <c r="L1" s="7"/>
      <c r="M1" s="7"/>
      <c r="N1" s="7" t="s">
        <v>11</v>
      </c>
      <c r="O1" s="7"/>
      <c r="P1" s="7"/>
      <c r="Q1" s="7" t="s">
        <v>12</v>
      </c>
      <c r="R1" s="7"/>
      <c r="S1" s="7"/>
      <c r="T1" s="7" t="s">
        <v>13</v>
      </c>
      <c r="U1" s="7"/>
      <c r="V1" s="7"/>
      <c r="W1" s="7" t="s">
        <v>17</v>
      </c>
      <c r="X1" s="7"/>
      <c r="Y1" s="7"/>
      <c r="Z1" s="7" t="s">
        <v>18</v>
      </c>
      <c r="AA1" s="7"/>
      <c r="AB1" s="7"/>
    </row>
    <row r="2" spans="1:28" x14ac:dyDescent="0.25">
      <c r="A2" s="8"/>
      <c r="B2" s="1" t="s">
        <v>14</v>
      </c>
      <c r="C2" s="1" t="s">
        <v>15</v>
      </c>
      <c r="D2" s="1" t="s">
        <v>16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15</v>
      </c>
      <c r="J2" s="1" t="s">
        <v>16</v>
      </c>
      <c r="K2" s="1" t="s">
        <v>14</v>
      </c>
      <c r="L2" s="1" t="s">
        <v>15</v>
      </c>
      <c r="M2" s="1" t="s">
        <v>16</v>
      </c>
      <c r="N2" s="1" t="s">
        <v>14</v>
      </c>
      <c r="O2" s="1" t="s">
        <v>15</v>
      </c>
      <c r="P2" s="1" t="s">
        <v>16</v>
      </c>
      <c r="Q2" s="1" t="s">
        <v>14</v>
      </c>
      <c r="R2" s="1" t="s">
        <v>15</v>
      </c>
      <c r="S2" s="1" t="s">
        <v>16</v>
      </c>
      <c r="T2" s="1" t="s">
        <v>14</v>
      </c>
      <c r="U2" s="1" t="s">
        <v>15</v>
      </c>
      <c r="V2" s="1" t="s">
        <v>16</v>
      </c>
      <c r="W2" s="1" t="s">
        <v>14</v>
      </c>
      <c r="X2" s="1" t="s">
        <v>15</v>
      </c>
      <c r="Y2" s="1" t="s">
        <v>16</v>
      </c>
      <c r="Z2" s="1" t="s">
        <v>14</v>
      </c>
      <c r="AA2" s="1" t="s">
        <v>15</v>
      </c>
      <c r="AB2" s="1" t="s">
        <v>16</v>
      </c>
    </row>
    <row r="3" spans="1:28" x14ac:dyDescent="0.25">
      <c r="A3">
        <v>3</v>
      </c>
      <c r="B3" s="1">
        <f>2+7/8</f>
        <v>2.875</v>
      </c>
      <c r="C3" s="1">
        <v>4</v>
      </c>
      <c r="D3" s="1">
        <v>0.75</v>
      </c>
    </row>
    <row r="4" spans="1:28" x14ac:dyDescent="0.25">
      <c r="A4">
        <v>3.5</v>
      </c>
      <c r="B4" s="1">
        <f>3+1/8</f>
        <v>3.125</v>
      </c>
      <c r="C4" s="1">
        <v>4</v>
      </c>
      <c r="D4" s="1">
        <v>1</v>
      </c>
    </row>
    <row r="5" spans="1:28" x14ac:dyDescent="0.25">
      <c r="A5">
        <v>4</v>
      </c>
      <c r="B5" s="1">
        <f>2+3/8</f>
        <v>2.375</v>
      </c>
      <c r="C5" s="1">
        <v>6</v>
      </c>
      <c r="D5" s="1">
        <v>0.75</v>
      </c>
    </row>
    <row r="6" spans="1:28" x14ac:dyDescent="0.25">
      <c r="A6">
        <v>4.5</v>
      </c>
      <c r="B6" s="1">
        <f>2+5/8</f>
        <v>2.625</v>
      </c>
      <c r="C6" s="1">
        <v>6</v>
      </c>
      <c r="D6" s="1">
        <v>0.875</v>
      </c>
    </row>
    <row r="7" spans="1:28" x14ac:dyDescent="0.25">
      <c r="A7">
        <v>5</v>
      </c>
      <c r="B7" s="1">
        <v>3</v>
      </c>
      <c r="C7" s="1">
        <v>6</v>
      </c>
      <c r="D7" s="1">
        <v>1</v>
      </c>
    </row>
    <row r="8" spans="1:28" x14ac:dyDescent="0.25">
      <c r="A8">
        <v>6</v>
      </c>
      <c r="B8" s="1">
        <v>3.5</v>
      </c>
      <c r="C8" s="1">
        <v>6</v>
      </c>
      <c r="D8" s="1">
        <v>1.25</v>
      </c>
    </row>
    <row r="9" spans="1:28" x14ac:dyDescent="0.25">
      <c r="A9">
        <v>7</v>
      </c>
    </row>
    <row r="10" spans="1:28" x14ac:dyDescent="0.25">
      <c r="A10">
        <v>8</v>
      </c>
    </row>
    <row r="11" spans="1:28" x14ac:dyDescent="0.25">
      <c r="A11">
        <v>9</v>
      </c>
    </row>
    <row r="12" spans="1:28" x14ac:dyDescent="0.25">
      <c r="A12">
        <v>10</v>
      </c>
    </row>
    <row r="13" spans="1:28" x14ac:dyDescent="0.25">
      <c r="A13">
        <v>11</v>
      </c>
    </row>
    <row r="14" spans="1:28" x14ac:dyDescent="0.25">
      <c r="A14">
        <v>12</v>
      </c>
    </row>
    <row r="15" spans="1:28" x14ac:dyDescent="0.25">
      <c r="A15">
        <v>14</v>
      </c>
    </row>
    <row r="16" spans="1:2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</sheetData>
  <mergeCells count="10">
    <mergeCell ref="T1:V1"/>
    <mergeCell ref="W1:Y1"/>
    <mergeCell ref="Z1:AB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1" workbookViewId="0">
      <selection activeCell="H13" sqref="H13"/>
    </sheetView>
  </sheetViews>
  <sheetFormatPr defaultRowHeight="15" x14ac:dyDescent="0.25"/>
  <cols>
    <col min="1" max="1" width="9" bestFit="1" customWidth="1"/>
    <col min="2" max="2" width="9.5703125" bestFit="1" customWidth="1"/>
    <col min="3" max="3" width="9.28515625" bestFit="1" customWidth="1"/>
    <col min="4" max="4" width="12.5703125" bestFit="1" customWidth="1"/>
    <col min="5" max="5" width="11.85546875" bestFit="1" customWidth="1"/>
    <col min="6" max="6" width="5.28515625" bestFit="1" customWidth="1"/>
  </cols>
  <sheetData>
    <row r="1" spans="1:6" x14ac:dyDescent="0.25">
      <c r="A1" s="6" t="s">
        <v>0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spans="1:6" x14ac:dyDescent="0.25">
      <c r="A2" s="6">
        <v>0.5</v>
      </c>
      <c r="B2" s="6">
        <v>1</v>
      </c>
      <c r="C2" s="6">
        <v>3</v>
      </c>
      <c r="D2" s="6">
        <f>10+7/8</f>
        <v>10.875</v>
      </c>
      <c r="E2" s="6">
        <v>19</v>
      </c>
      <c r="F2" s="6">
        <v>1</v>
      </c>
    </row>
    <row r="3" spans="1:6" x14ac:dyDescent="0.25">
      <c r="A3" s="6">
        <v>0.75</v>
      </c>
      <c r="B3" s="6">
        <v>1</v>
      </c>
      <c r="C3" s="6">
        <v>3</v>
      </c>
      <c r="D3" s="6">
        <f>10+7/8</f>
        <v>10.875</v>
      </c>
      <c r="E3" s="6">
        <v>19</v>
      </c>
      <c r="F3" s="6">
        <v>1</v>
      </c>
    </row>
    <row r="4" spans="1:6" x14ac:dyDescent="0.25">
      <c r="A4" s="6">
        <v>1</v>
      </c>
      <c r="B4" s="6">
        <v>1</v>
      </c>
      <c r="C4" s="6">
        <v>3.5</v>
      </c>
      <c r="D4" s="6">
        <f>12+3/8</f>
        <v>12.375</v>
      </c>
      <c r="E4" s="6">
        <v>20</v>
      </c>
      <c r="F4" s="6">
        <v>1</v>
      </c>
    </row>
    <row r="5" spans="1:6" x14ac:dyDescent="0.25">
      <c r="A5" s="6">
        <v>1.25</v>
      </c>
      <c r="B5" s="6">
        <v>1</v>
      </c>
      <c r="C5" s="6">
        <v>3.5</v>
      </c>
      <c r="D5" s="6">
        <f>12+3/8</f>
        <v>12.375</v>
      </c>
      <c r="E5" s="6">
        <v>20</v>
      </c>
      <c r="F5" s="6">
        <v>1</v>
      </c>
    </row>
    <row r="6" spans="1:6" x14ac:dyDescent="0.25">
      <c r="A6" s="6">
        <v>0.5</v>
      </c>
      <c r="B6" s="6">
        <v>1.5</v>
      </c>
      <c r="C6" s="6">
        <v>4</v>
      </c>
      <c r="D6" s="6">
        <v>14</v>
      </c>
      <c r="E6" s="6">
        <v>22</v>
      </c>
      <c r="F6" s="6">
        <v>1</v>
      </c>
    </row>
    <row r="7" spans="1:6" x14ac:dyDescent="0.25">
      <c r="A7" s="6">
        <v>0.75</v>
      </c>
      <c r="B7" s="6">
        <v>1.5</v>
      </c>
      <c r="C7" s="6">
        <v>4</v>
      </c>
      <c r="D7" s="6">
        <v>14</v>
      </c>
      <c r="E7" s="6">
        <v>22</v>
      </c>
      <c r="F7" s="6">
        <v>1</v>
      </c>
    </row>
    <row r="8" spans="1:6" x14ac:dyDescent="0.25">
      <c r="A8" s="6">
        <v>1.5</v>
      </c>
      <c r="B8" s="6">
        <v>1</v>
      </c>
      <c r="C8" s="6">
        <v>4</v>
      </c>
      <c r="D8" s="6">
        <v>14</v>
      </c>
      <c r="E8" s="6">
        <v>22</v>
      </c>
      <c r="F8" s="6">
        <v>1</v>
      </c>
    </row>
    <row r="9" spans="1:6" x14ac:dyDescent="0.25">
      <c r="A9" s="6">
        <v>1</v>
      </c>
      <c r="B9" s="6">
        <v>1.5</v>
      </c>
      <c r="C9" s="6">
        <v>4.5</v>
      </c>
      <c r="D9" s="6">
        <v>16</v>
      </c>
      <c r="E9" s="6">
        <v>24</v>
      </c>
      <c r="F9" s="6">
        <v>1.5</v>
      </c>
    </row>
    <row r="10" spans="1:6" x14ac:dyDescent="0.25">
      <c r="A10" s="6">
        <v>1.25</v>
      </c>
      <c r="B10" s="6">
        <v>1.5</v>
      </c>
      <c r="C10" s="6">
        <v>4.5</v>
      </c>
      <c r="D10" s="6">
        <v>16</v>
      </c>
      <c r="E10" s="6">
        <v>24</v>
      </c>
      <c r="F10" s="6">
        <v>1.5</v>
      </c>
    </row>
    <row r="11" spans="1:6" x14ac:dyDescent="0.25">
      <c r="A11" s="6">
        <v>2</v>
      </c>
      <c r="B11" s="6">
        <v>1</v>
      </c>
      <c r="C11" s="6">
        <v>4.5</v>
      </c>
      <c r="D11" s="6">
        <v>16</v>
      </c>
      <c r="E11" s="6">
        <v>24</v>
      </c>
      <c r="F11" s="6">
        <v>1.5</v>
      </c>
    </row>
    <row r="12" spans="1:6" x14ac:dyDescent="0.25">
      <c r="A12" s="6">
        <v>0.5</v>
      </c>
      <c r="B12" s="6">
        <v>2</v>
      </c>
      <c r="C12" s="6">
        <v>5</v>
      </c>
      <c r="D12" s="6">
        <f>17+5/8</f>
        <v>17.625</v>
      </c>
      <c r="E12" s="6">
        <v>25</v>
      </c>
      <c r="F12" s="6">
        <v>1.5</v>
      </c>
    </row>
    <row r="13" spans="1:6" x14ac:dyDescent="0.25">
      <c r="A13" s="6">
        <v>0.75</v>
      </c>
      <c r="B13" s="6">
        <v>2</v>
      </c>
      <c r="C13" s="6">
        <v>5</v>
      </c>
      <c r="D13" s="6">
        <f t="shared" ref="D13:D14" si="0">17+5/8</f>
        <v>17.625</v>
      </c>
      <c r="E13" s="6">
        <v>25</v>
      </c>
      <c r="F13" s="6">
        <v>1.5</v>
      </c>
    </row>
    <row r="14" spans="1:6" x14ac:dyDescent="0.25">
      <c r="A14" s="6">
        <v>1.5</v>
      </c>
      <c r="B14" s="6">
        <v>1.5</v>
      </c>
      <c r="C14" s="6">
        <v>5</v>
      </c>
      <c r="D14" s="6">
        <f t="shared" si="0"/>
        <v>17.625</v>
      </c>
      <c r="E14" s="6">
        <v>25</v>
      </c>
      <c r="F14" s="6">
        <v>1.5</v>
      </c>
    </row>
    <row r="15" spans="1:6" x14ac:dyDescent="0.25">
      <c r="A15" s="6">
        <v>1</v>
      </c>
      <c r="B15" s="6">
        <v>2</v>
      </c>
      <c r="C15" s="6">
        <v>5.5</v>
      </c>
      <c r="D15" s="6">
        <f>19+1/8</f>
        <v>19.125</v>
      </c>
      <c r="E15" s="6">
        <v>27</v>
      </c>
      <c r="F15" s="6">
        <v>1.5</v>
      </c>
    </row>
    <row r="16" spans="1:6" x14ac:dyDescent="0.25">
      <c r="A16" s="6">
        <v>1.25</v>
      </c>
      <c r="B16" s="6">
        <v>2</v>
      </c>
      <c r="C16" s="6">
        <v>5.5</v>
      </c>
      <c r="D16" s="6">
        <f t="shared" ref="D16:D19" si="1">19+1/8</f>
        <v>19.125</v>
      </c>
      <c r="E16" s="6">
        <v>27</v>
      </c>
      <c r="F16" s="6">
        <v>1.5</v>
      </c>
    </row>
    <row r="17" spans="1:6" x14ac:dyDescent="0.25">
      <c r="A17" s="6">
        <v>2</v>
      </c>
      <c r="B17" s="6">
        <v>1.5</v>
      </c>
      <c r="C17" s="6">
        <v>5.5</v>
      </c>
      <c r="D17" s="6">
        <f t="shared" si="1"/>
        <v>19.125</v>
      </c>
      <c r="E17" s="6">
        <v>27</v>
      </c>
      <c r="F17" s="6">
        <v>1.5</v>
      </c>
    </row>
    <row r="18" spans="1:6" x14ac:dyDescent="0.25">
      <c r="A18" s="6">
        <v>2.5</v>
      </c>
      <c r="B18" s="6">
        <v>1</v>
      </c>
      <c r="C18" s="6">
        <v>5.5</v>
      </c>
      <c r="D18" s="6">
        <f t="shared" si="1"/>
        <v>19.125</v>
      </c>
      <c r="E18" s="6">
        <v>27</v>
      </c>
      <c r="F18" s="6">
        <v>1.5</v>
      </c>
    </row>
    <row r="19" spans="1:6" x14ac:dyDescent="0.25">
      <c r="A19" s="6">
        <v>3</v>
      </c>
      <c r="B19" s="6">
        <v>1</v>
      </c>
      <c r="C19" s="6">
        <v>5.5</v>
      </c>
      <c r="D19" s="6">
        <f t="shared" si="1"/>
        <v>19.125</v>
      </c>
      <c r="E19" s="6">
        <v>27</v>
      </c>
      <c r="F19" s="6">
        <v>1.5</v>
      </c>
    </row>
    <row r="20" spans="1:6" x14ac:dyDescent="0.25">
      <c r="A20" s="6">
        <v>0.75</v>
      </c>
      <c r="B20" s="6">
        <v>2.5</v>
      </c>
      <c r="C20" s="6">
        <f>6+5/8</f>
        <v>6.625</v>
      </c>
      <c r="D20" s="6">
        <v>22.75</v>
      </c>
      <c r="E20" s="6">
        <v>30</v>
      </c>
      <c r="F20" s="6">
        <v>1.5</v>
      </c>
    </row>
    <row r="21" spans="1:6" x14ac:dyDescent="0.25">
      <c r="A21" s="6">
        <v>1</v>
      </c>
      <c r="B21" s="6">
        <v>2.5</v>
      </c>
      <c r="C21" s="6">
        <f t="shared" ref="C21:C29" si="2">6+5/8</f>
        <v>6.625</v>
      </c>
      <c r="D21" s="6">
        <v>22.75</v>
      </c>
      <c r="E21" s="6">
        <v>30</v>
      </c>
      <c r="F21" s="6">
        <v>1.5</v>
      </c>
    </row>
    <row r="22" spans="1:6" x14ac:dyDescent="0.25">
      <c r="A22" s="6">
        <v>1.25</v>
      </c>
      <c r="B22" s="6">
        <v>2.5</v>
      </c>
      <c r="C22" s="6">
        <f t="shared" si="2"/>
        <v>6.625</v>
      </c>
      <c r="D22" s="6">
        <v>22.75</v>
      </c>
      <c r="E22" s="6">
        <v>30</v>
      </c>
      <c r="F22" s="6">
        <v>1.5</v>
      </c>
    </row>
    <row r="23" spans="1:6" x14ac:dyDescent="0.25">
      <c r="A23" s="6">
        <v>1.5</v>
      </c>
      <c r="B23" s="6">
        <v>2</v>
      </c>
      <c r="C23" s="6">
        <f t="shared" si="2"/>
        <v>6.625</v>
      </c>
      <c r="D23" s="6">
        <v>22.75</v>
      </c>
      <c r="E23" s="6">
        <v>30</v>
      </c>
      <c r="F23" s="6">
        <v>1.5</v>
      </c>
    </row>
    <row r="24" spans="1:6" x14ac:dyDescent="0.25">
      <c r="A24" s="6">
        <v>2</v>
      </c>
      <c r="B24" s="6">
        <v>2</v>
      </c>
      <c r="C24" s="6">
        <f t="shared" si="2"/>
        <v>6.625</v>
      </c>
      <c r="D24" s="6">
        <v>22.75</v>
      </c>
      <c r="E24" s="6">
        <v>30</v>
      </c>
      <c r="F24" s="6">
        <v>1.5</v>
      </c>
    </row>
    <row r="25" spans="1:6" x14ac:dyDescent="0.25">
      <c r="A25" s="6">
        <v>2.5</v>
      </c>
      <c r="B25" s="6">
        <v>1.5</v>
      </c>
      <c r="C25" s="6">
        <f t="shared" si="2"/>
        <v>6.625</v>
      </c>
      <c r="D25" s="6">
        <v>22.75</v>
      </c>
      <c r="E25" s="6">
        <v>30</v>
      </c>
      <c r="F25" s="6">
        <v>1.5</v>
      </c>
    </row>
    <row r="26" spans="1:6" x14ac:dyDescent="0.25">
      <c r="A26" s="6">
        <v>3</v>
      </c>
      <c r="B26" s="6">
        <v>1.5</v>
      </c>
      <c r="C26" s="6">
        <f t="shared" si="2"/>
        <v>6.625</v>
      </c>
      <c r="D26" s="6">
        <v>22.75</v>
      </c>
      <c r="E26" s="6">
        <v>30</v>
      </c>
      <c r="F26" s="6">
        <v>1.5</v>
      </c>
    </row>
    <row r="27" spans="1:6" x14ac:dyDescent="0.25">
      <c r="A27" s="6">
        <v>3.5</v>
      </c>
      <c r="B27" s="6">
        <v>1</v>
      </c>
      <c r="C27" s="6">
        <f t="shared" si="2"/>
        <v>6.625</v>
      </c>
      <c r="D27" s="6">
        <v>22.75</v>
      </c>
      <c r="E27" s="6">
        <v>30</v>
      </c>
      <c r="F27" s="6">
        <v>1.5</v>
      </c>
    </row>
    <row r="28" spans="1:6" x14ac:dyDescent="0.25">
      <c r="A28" s="6">
        <v>4</v>
      </c>
      <c r="B28" s="6">
        <v>1</v>
      </c>
      <c r="C28" s="6">
        <f t="shared" si="2"/>
        <v>6.625</v>
      </c>
      <c r="D28" s="6">
        <v>22.75</v>
      </c>
      <c r="E28" s="6">
        <v>33</v>
      </c>
      <c r="F28" s="6">
        <v>1.5</v>
      </c>
    </row>
    <row r="29" spans="1:6" x14ac:dyDescent="0.25">
      <c r="A29" s="6">
        <v>0.75</v>
      </c>
      <c r="B29" s="6">
        <v>3</v>
      </c>
      <c r="C29" s="6">
        <f t="shared" si="2"/>
        <v>6.625</v>
      </c>
      <c r="D29" s="6">
        <f>25+7/8</f>
        <v>25.875</v>
      </c>
      <c r="E29" s="6">
        <v>33</v>
      </c>
      <c r="F29" s="6">
        <v>2</v>
      </c>
    </row>
    <row r="30" spans="1:6" x14ac:dyDescent="0.25">
      <c r="A30" s="6">
        <v>1</v>
      </c>
      <c r="B30" s="6">
        <v>3</v>
      </c>
      <c r="C30" s="6">
        <f>7+5/8</f>
        <v>7.625</v>
      </c>
      <c r="D30" s="6">
        <f t="shared" ref="D30:D33" si="3">25+7/8</f>
        <v>25.875</v>
      </c>
      <c r="E30" s="6">
        <v>33</v>
      </c>
      <c r="F30" s="6">
        <v>2</v>
      </c>
    </row>
    <row r="31" spans="1:6" x14ac:dyDescent="0.25">
      <c r="A31" s="6">
        <v>1.25</v>
      </c>
      <c r="B31" s="6">
        <v>3</v>
      </c>
      <c r="C31" s="6">
        <f t="shared" ref="C31:C39" si="4">7+5/8</f>
        <v>7.625</v>
      </c>
      <c r="D31" s="6">
        <f t="shared" si="3"/>
        <v>25.875</v>
      </c>
      <c r="E31" s="6">
        <v>33</v>
      </c>
      <c r="F31" s="6">
        <v>2</v>
      </c>
    </row>
    <row r="32" spans="1:6" x14ac:dyDescent="0.25">
      <c r="A32" s="6">
        <v>1.5</v>
      </c>
      <c r="B32" s="6">
        <v>2.5</v>
      </c>
      <c r="C32" s="6">
        <f t="shared" si="4"/>
        <v>7.625</v>
      </c>
      <c r="D32" s="6">
        <f t="shared" si="3"/>
        <v>25.875</v>
      </c>
      <c r="E32" s="6">
        <v>33</v>
      </c>
      <c r="F32" s="6">
        <v>2</v>
      </c>
    </row>
    <row r="33" spans="1:6" x14ac:dyDescent="0.25">
      <c r="A33" s="6">
        <v>2</v>
      </c>
      <c r="B33" s="6">
        <v>2.5</v>
      </c>
      <c r="C33" s="6">
        <f t="shared" si="4"/>
        <v>7.625</v>
      </c>
      <c r="D33" s="6">
        <f t="shared" si="3"/>
        <v>25.875</v>
      </c>
      <c r="E33" s="6">
        <v>33</v>
      </c>
      <c r="F33" s="6">
        <v>2</v>
      </c>
    </row>
    <row r="34" spans="1:6" x14ac:dyDescent="0.25">
      <c r="A34" s="6">
        <v>2.5</v>
      </c>
      <c r="B34" s="6">
        <v>2</v>
      </c>
      <c r="C34" s="6">
        <f t="shared" si="4"/>
        <v>7.625</v>
      </c>
      <c r="D34" s="6">
        <f>26+3/8</f>
        <v>26.375</v>
      </c>
      <c r="E34" s="6">
        <v>33</v>
      </c>
      <c r="F34" s="6">
        <v>2</v>
      </c>
    </row>
    <row r="35" spans="1:6" x14ac:dyDescent="0.25">
      <c r="A35" s="6">
        <v>3</v>
      </c>
      <c r="B35" s="6">
        <v>2</v>
      </c>
      <c r="C35" s="6">
        <f t="shared" si="4"/>
        <v>7.625</v>
      </c>
      <c r="D35" s="6">
        <f t="shared" ref="D35:D39" si="5">26+3/8</f>
        <v>26.375</v>
      </c>
      <c r="E35" s="6">
        <v>33</v>
      </c>
      <c r="F35" s="6">
        <v>2</v>
      </c>
    </row>
    <row r="36" spans="1:6" x14ac:dyDescent="0.25">
      <c r="A36" s="6">
        <v>3.5</v>
      </c>
      <c r="B36" s="6">
        <v>1.5</v>
      </c>
      <c r="C36" s="6">
        <f t="shared" si="4"/>
        <v>7.625</v>
      </c>
      <c r="D36" s="6">
        <f t="shared" si="5"/>
        <v>26.375</v>
      </c>
      <c r="E36" s="6">
        <v>33</v>
      </c>
      <c r="F36" s="6">
        <v>2</v>
      </c>
    </row>
    <row r="37" spans="1:6" x14ac:dyDescent="0.25">
      <c r="A37" s="6">
        <v>4</v>
      </c>
      <c r="B37" s="6">
        <v>1.5</v>
      </c>
      <c r="C37" s="6">
        <f t="shared" si="4"/>
        <v>7.625</v>
      </c>
      <c r="D37" s="6">
        <f t="shared" si="5"/>
        <v>26.375</v>
      </c>
      <c r="E37" s="6">
        <v>33</v>
      </c>
      <c r="F37" s="6">
        <v>2</v>
      </c>
    </row>
    <row r="38" spans="1:6" x14ac:dyDescent="0.25">
      <c r="A38" s="6">
        <v>4.5</v>
      </c>
      <c r="B38" s="6">
        <v>1</v>
      </c>
      <c r="C38" s="6">
        <f t="shared" si="4"/>
        <v>7.625</v>
      </c>
      <c r="D38" s="6">
        <f t="shared" si="5"/>
        <v>26.375</v>
      </c>
      <c r="E38" s="6">
        <v>33</v>
      </c>
      <c r="F38" s="6">
        <v>2</v>
      </c>
    </row>
    <row r="39" spans="1:6" x14ac:dyDescent="0.25">
      <c r="A39" s="6">
        <v>5</v>
      </c>
      <c r="B39" s="6">
        <v>1</v>
      </c>
      <c r="C39" s="6">
        <f t="shared" si="4"/>
        <v>7.625</v>
      </c>
      <c r="D39" s="6">
        <f t="shared" si="5"/>
        <v>26.375</v>
      </c>
      <c r="E39" s="6">
        <v>37</v>
      </c>
      <c r="F39" s="6">
        <v>2</v>
      </c>
    </row>
    <row r="40" spans="1:6" x14ac:dyDescent="0.25">
      <c r="A40" s="6">
        <v>1.5</v>
      </c>
      <c r="B40" s="6">
        <v>3</v>
      </c>
      <c r="C40" s="6">
        <v>8.75</v>
      </c>
      <c r="D40" s="6">
        <f>29+7/8</f>
        <v>29.875</v>
      </c>
      <c r="E40" s="6">
        <v>37</v>
      </c>
      <c r="F40" s="6">
        <v>2</v>
      </c>
    </row>
    <row r="41" spans="1:6" x14ac:dyDescent="0.25">
      <c r="A41" s="6">
        <v>2</v>
      </c>
      <c r="B41" s="6">
        <v>3</v>
      </c>
      <c r="C41" s="6">
        <v>8.75</v>
      </c>
      <c r="D41" s="6">
        <f t="shared" ref="D41:D48" si="6">29+7/8</f>
        <v>29.875</v>
      </c>
      <c r="E41" s="6">
        <v>37</v>
      </c>
      <c r="F41" s="6">
        <v>2</v>
      </c>
    </row>
    <row r="42" spans="1:6" x14ac:dyDescent="0.25">
      <c r="A42" s="6">
        <v>2.5</v>
      </c>
      <c r="B42" s="6">
        <v>2.5</v>
      </c>
      <c r="C42" s="6">
        <v>8.75</v>
      </c>
      <c r="D42" s="6">
        <f t="shared" si="6"/>
        <v>29.875</v>
      </c>
      <c r="E42" s="6">
        <v>37</v>
      </c>
      <c r="F42" s="6">
        <v>2</v>
      </c>
    </row>
    <row r="43" spans="1:6" x14ac:dyDescent="0.25">
      <c r="A43" s="6">
        <v>3</v>
      </c>
      <c r="B43" s="6">
        <v>2.5</v>
      </c>
      <c r="C43" s="6">
        <v>8.75</v>
      </c>
      <c r="D43" s="6">
        <f t="shared" si="6"/>
        <v>29.875</v>
      </c>
      <c r="E43" s="6">
        <v>37</v>
      </c>
      <c r="F43" s="6">
        <v>2</v>
      </c>
    </row>
    <row r="44" spans="1:6" x14ac:dyDescent="0.25">
      <c r="A44" s="6">
        <v>3.5</v>
      </c>
      <c r="B44" s="6">
        <v>2</v>
      </c>
      <c r="C44" s="6">
        <v>8.75</v>
      </c>
      <c r="D44" s="6">
        <f t="shared" si="6"/>
        <v>29.875</v>
      </c>
      <c r="E44" s="6">
        <v>37</v>
      </c>
      <c r="F44" s="6">
        <v>2</v>
      </c>
    </row>
    <row r="45" spans="1:6" x14ac:dyDescent="0.25">
      <c r="A45" s="6">
        <v>4</v>
      </c>
      <c r="B45" s="6">
        <v>2</v>
      </c>
      <c r="C45" s="6">
        <v>8.75</v>
      </c>
      <c r="D45" s="6">
        <f t="shared" si="6"/>
        <v>29.875</v>
      </c>
      <c r="E45" s="6">
        <v>37</v>
      </c>
      <c r="F45" s="6">
        <v>2</v>
      </c>
    </row>
    <row r="46" spans="1:6" x14ac:dyDescent="0.25">
      <c r="A46" s="6">
        <v>4.5</v>
      </c>
      <c r="B46" s="6">
        <v>1.5</v>
      </c>
      <c r="C46" s="6">
        <v>8.75</v>
      </c>
      <c r="D46" s="6">
        <f t="shared" si="6"/>
        <v>29.875</v>
      </c>
      <c r="E46" s="6">
        <v>37</v>
      </c>
      <c r="F46" s="6">
        <v>2</v>
      </c>
    </row>
    <row r="47" spans="1:6" x14ac:dyDescent="0.25">
      <c r="A47" s="6">
        <v>5</v>
      </c>
      <c r="B47" s="6">
        <v>1.5</v>
      </c>
      <c r="C47" s="6">
        <v>8.75</v>
      </c>
      <c r="D47" s="6">
        <f t="shared" si="6"/>
        <v>29.875</v>
      </c>
      <c r="E47" s="6">
        <v>37</v>
      </c>
      <c r="F47" s="6">
        <v>2</v>
      </c>
    </row>
    <row r="48" spans="1:6" x14ac:dyDescent="0.25">
      <c r="A48" s="6">
        <v>6</v>
      </c>
      <c r="B48" s="6">
        <v>1</v>
      </c>
      <c r="C48" s="6">
        <v>8.75</v>
      </c>
      <c r="D48" s="6">
        <f t="shared" si="6"/>
        <v>29.875</v>
      </c>
      <c r="E48" s="6">
        <v>37</v>
      </c>
      <c r="F48" s="6">
        <v>2</v>
      </c>
    </row>
    <row r="49" spans="1:6" x14ac:dyDescent="0.25">
      <c r="A49" s="6">
        <v>1.5</v>
      </c>
      <c r="B49" s="6">
        <v>3.5</v>
      </c>
      <c r="C49" s="6">
        <v>9.75</v>
      </c>
      <c r="D49" s="6">
        <v>33</v>
      </c>
      <c r="E49" s="6">
        <v>40</v>
      </c>
      <c r="F49" s="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G29" sqref="G29:H32"/>
    </sheetView>
  </sheetViews>
  <sheetFormatPr defaultRowHeight="15" x14ac:dyDescent="0.25"/>
  <cols>
    <col min="1" max="1" width="7.5703125" customWidth="1"/>
    <col min="2" max="6" width="6.28515625" bestFit="1" customWidth="1"/>
    <col min="8" max="8" width="6.5703125" customWidth="1"/>
    <col min="9" max="9" width="6.28515625" customWidth="1"/>
    <col min="10" max="10" width="7" customWidth="1"/>
    <col min="11" max="12" width="6.7109375" customWidth="1"/>
    <col min="13" max="13" width="7.42578125" customWidth="1"/>
  </cols>
  <sheetData>
    <row r="1" spans="1:13" x14ac:dyDescent="0.25">
      <c r="A1" s="11" t="s">
        <v>24</v>
      </c>
      <c r="B1" s="11"/>
      <c r="C1" s="11"/>
      <c r="D1" s="11"/>
      <c r="E1" s="11"/>
      <c r="F1" s="11"/>
      <c r="H1" s="11" t="s">
        <v>28</v>
      </c>
      <c r="I1" s="11"/>
      <c r="J1" s="11"/>
      <c r="K1" s="11"/>
      <c r="L1" s="11"/>
      <c r="M1" s="11"/>
    </row>
    <row r="2" spans="1:13" x14ac:dyDescent="0.25">
      <c r="A2" s="9" t="s">
        <v>25</v>
      </c>
      <c r="B2" s="10" t="s">
        <v>26</v>
      </c>
      <c r="C2" s="10"/>
      <c r="D2" s="10"/>
      <c r="E2" s="10"/>
      <c r="F2" s="10"/>
      <c r="H2" s="9" t="s">
        <v>25</v>
      </c>
      <c r="I2" s="10" t="s">
        <v>26</v>
      </c>
      <c r="J2" s="10"/>
      <c r="K2" s="10"/>
      <c r="L2" s="10"/>
      <c r="M2" s="10"/>
    </row>
    <row r="3" spans="1:13" ht="26.25" customHeight="1" x14ac:dyDescent="0.25">
      <c r="A3" s="9"/>
      <c r="B3" s="2">
        <v>1</v>
      </c>
      <c r="C3" s="2">
        <v>1.5</v>
      </c>
      <c r="D3" s="2">
        <v>2</v>
      </c>
      <c r="E3" s="2">
        <v>2.5</v>
      </c>
      <c r="F3" s="2">
        <v>3</v>
      </c>
      <c r="H3" s="9"/>
      <c r="I3" s="2">
        <v>1</v>
      </c>
      <c r="J3" s="2">
        <v>1.5</v>
      </c>
      <c r="K3" s="2">
        <v>2</v>
      </c>
      <c r="L3" s="2">
        <v>2.5</v>
      </c>
      <c r="M3" s="2">
        <v>3</v>
      </c>
    </row>
    <row r="4" spans="1:13" x14ac:dyDescent="0.25">
      <c r="A4" s="2">
        <v>0.5</v>
      </c>
      <c r="B4" s="2">
        <v>2</v>
      </c>
      <c r="C4" s="2">
        <v>5</v>
      </c>
      <c r="D4" s="2">
        <v>8</v>
      </c>
      <c r="E4" s="2">
        <v>12</v>
      </c>
      <c r="F4" s="2">
        <v>23</v>
      </c>
      <c r="H4" s="2">
        <v>0.5</v>
      </c>
      <c r="I4" s="2">
        <v>1</v>
      </c>
      <c r="J4" s="2">
        <v>3</v>
      </c>
      <c r="K4" s="2">
        <v>5</v>
      </c>
      <c r="L4" s="2">
        <v>7</v>
      </c>
      <c r="M4" s="2">
        <v>8</v>
      </c>
    </row>
    <row r="5" spans="1:13" x14ac:dyDescent="0.25">
      <c r="A5" s="2">
        <v>0.75</v>
      </c>
      <c r="B5" s="2">
        <v>2</v>
      </c>
      <c r="C5" s="2">
        <v>5</v>
      </c>
      <c r="D5" s="2">
        <v>9</v>
      </c>
      <c r="E5" s="2">
        <v>12</v>
      </c>
      <c r="F5" s="2">
        <v>23</v>
      </c>
      <c r="H5" s="2">
        <v>0.75</v>
      </c>
      <c r="I5" s="2">
        <v>1</v>
      </c>
      <c r="J5" s="2">
        <v>3</v>
      </c>
      <c r="K5" s="2">
        <v>5</v>
      </c>
      <c r="L5" s="2">
        <v>7</v>
      </c>
      <c r="M5" s="2">
        <v>8</v>
      </c>
    </row>
    <row r="6" spans="1:13" x14ac:dyDescent="0.25">
      <c r="A6" s="2">
        <v>1</v>
      </c>
      <c r="B6" s="2">
        <v>3</v>
      </c>
      <c r="C6" s="2">
        <v>6</v>
      </c>
      <c r="D6" s="2">
        <v>11</v>
      </c>
      <c r="E6" s="2">
        <v>12</v>
      </c>
      <c r="F6" s="2">
        <v>23</v>
      </c>
      <c r="H6" s="2">
        <v>1</v>
      </c>
      <c r="I6" s="2">
        <v>2</v>
      </c>
      <c r="J6" s="2">
        <v>4</v>
      </c>
      <c r="K6" s="2">
        <v>6</v>
      </c>
      <c r="L6" s="2">
        <v>7</v>
      </c>
      <c r="M6" s="2">
        <v>8</v>
      </c>
    </row>
    <row r="7" spans="1:13" x14ac:dyDescent="0.25">
      <c r="A7" s="2">
        <v>1.25</v>
      </c>
      <c r="B7" s="2">
        <v>3</v>
      </c>
      <c r="C7" s="2">
        <v>9</v>
      </c>
      <c r="D7" s="2">
        <v>11</v>
      </c>
      <c r="E7" s="2">
        <v>18</v>
      </c>
      <c r="F7" s="2">
        <v>23</v>
      </c>
      <c r="H7" s="2">
        <v>1.25</v>
      </c>
      <c r="I7" s="2">
        <v>2</v>
      </c>
      <c r="J7" s="2">
        <v>5</v>
      </c>
      <c r="K7" s="2">
        <v>6</v>
      </c>
      <c r="L7" s="2">
        <v>7</v>
      </c>
      <c r="M7" s="2">
        <v>8</v>
      </c>
    </row>
    <row r="8" spans="1:13" x14ac:dyDescent="0.25">
      <c r="A8" s="2">
        <v>1.5</v>
      </c>
      <c r="B8" s="2">
        <v>4</v>
      </c>
      <c r="C8" s="2">
        <v>9</v>
      </c>
      <c r="D8" s="2">
        <v>18</v>
      </c>
      <c r="E8" s="2">
        <v>23</v>
      </c>
      <c r="F8" s="2">
        <v>15</v>
      </c>
      <c r="H8" s="2">
        <v>1.5</v>
      </c>
      <c r="I8" s="2">
        <v>3</v>
      </c>
      <c r="J8" s="2">
        <v>5</v>
      </c>
      <c r="K8" s="2">
        <v>7</v>
      </c>
      <c r="L8" s="2">
        <v>8</v>
      </c>
      <c r="M8" s="2">
        <v>9</v>
      </c>
    </row>
    <row r="9" spans="1:13" x14ac:dyDescent="0.25">
      <c r="A9" s="2">
        <v>2</v>
      </c>
      <c r="B9" s="2">
        <v>7</v>
      </c>
      <c r="C9" s="2">
        <v>10</v>
      </c>
      <c r="D9" s="2">
        <v>18</v>
      </c>
      <c r="E9" s="2">
        <v>20</v>
      </c>
      <c r="F9" s="2">
        <v>24</v>
      </c>
      <c r="H9" s="2">
        <v>2</v>
      </c>
      <c r="I9" s="2">
        <v>4</v>
      </c>
      <c r="J9" s="2">
        <v>6</v>
      </c>
      <c r="K9" s="2">
        <v>7</v>
      </c>
      <c r="L9" s="2">
        <v>8</v>
      </c>
      <c r="M9" s="2">
        <v>9</v>
      </c>
    </row>
    <row r="10" spans="1:13" x14ac:dyDescent="0.25">
      <c r="A10" s="2">
        <v>2.5</v>
      </c>
      <c r="B10" s="2">
        <v>13</v>
      </c>
      <c r="C10" s="2">
        <v>16</v>
      </c>
      <c r="D10" s="2">
        <v>20</v>
      </c>
      <c r="E10" s="2">
        <v>24</v>
      </c>
      <c r="F10" s="2">
        <v>25</v>
      </c>
      <c r="H10" s="2">
        <v>2.5</v>
      </c>
      <c r="I10" s="2">
        <v>5</v>
      </c>
      <c r="J10" s="2">
        <v>7</v>
      </c>
      <c r="K10" s="2">
        <v>8</v>
      </c>
      <c r="L10" s="2">
        <v>9</v>
      </c>
      <c r="M10" s="2">
        <v>10</v>
      </c>
    </row>
    <row r="11" spans="1:13" x14ac:dyDescent="0.25">
      <c r="A11" s="2">
        <v>3</v>
      </c>
      <c r="B11" s="2">
        <v>14</v>
      </c>
      <c r="C11" s="2">
        <v>19</v>
      </c>
      <c r="D11" s="2">
        <v>22</v>
      </c>
      <c r="E11" s="2">
        <v>24</v>
      </c>
      <c r="F11" s="2">
        <v>25</v>
      </c>
      <c r="H11" s="2">
        <v>3</v>
      </c>
      <c r="I11" s="2">
        <v>6</v>
      </c>
      <c r="J11" s="2">
        <v>7</v>
      </c>
      <c r="K11" s="2">
        <v>8</v>
      </c>
      <c r="L11" s="2">
        <v>9</v>
      </c>
      <c r="M11" s="2">
        <v>10</v>
      </c>
    </row>
    <row r="12" spans="1:13" x14ac:dyDescent="0.25">
      <c r="A12" s="2">
        <v>3.5</v>
      </c>
      <c r="B12" s="2">
        <v>17</v>
      </c>
      <c r="C12" s="2">
        <v>21</v>
      </c>
      <c r="D12" s="2">
        <v>27</v>
      </c>
      <c r="E12" s="2">
        <v>30</v>
      </c>
      <c r="F12" s="2">
        <v>33</v>
      </c>
      <c r="H12" s="2">
        <v>3.5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</row>
    <row r="13" spans="1:13" x14ac:dyDescent="0.25">
      <c r="A13" s="2">
        <v>4</v>
      </c>
      <c r="B13" s="2">
        <v>17</v>
      </c>
      <c r="C13" s="2">
        <v>21</v>
      </c>
      <c r="D13" s="2">
        <v>27</v>
      </c>
      <c r="E13" s="2">
        <v>30</v>
      </c>
      <c r="F13" s="2">
        <v>33</v>
      </c>
      <c r="H13" s="2">
        <v>4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</row>
    <row r="14" spans="1:13" x14ac:dyDescent="0.25">
      <c r="A14" s="2">
        <v>4.5</v>
      </c>
      <c r="B14" s="2">
        <v>28</v>
      </c>
      <c r="C14" s="2">
        <v>27</v>
      </c>
      <c r="D14" s="2">
        <v>30</v>
      </c>
      <c r="E14" s="2">
        <v>38</v>
      </c>
      <c r="F14" s="2">
        <v>31</v>
      </c>
      <c r="H14" s="2">
        <v>4.5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>
        <v>5</v>
      </c>
      <c r="B15" s="2">
        <v>28</v>
      </c>
      <c r="C15" s="2">
        <v>29</v>
      </c>
      <c r="D15" s="2">
        <v>36</v>
      </c>
      <c r="E15" s="2">
        <v>38</v>
      </c>
      <c r="F15" s="2">
        <v>39</v>
      </c>
      <c r="H15" s="2">
        <v>5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>
        <v>6</v>
      </c>
      <c r="B16" s="2">
        <v>32</v>
      </c>
      <c r="C16" s="2">
        <v>35</v>
      </c>
      <c r="D16" s="2">
        <v>37</v>
      </c>
      <c r="E16" s="2">
        <v>39</v>
      </c>
      <c r="F16" s="2">
        <v>44</v>
      </c>
      <c r="H16" s="2">
        <v>6</v>
      </c>
      <c r="I16" s="2">
        <v>9</v>
      </c>
      <c r="J16" s="2">
        <v>10</v>
      </c>
      <c r="K16" s="2">
        <v>11</v>
      </c>
      <c r="L16" s="2">
        <v>12</v>
      </c>
      <c r="M16" s="2">
        <v>13</v>
      </c>
    </row>
    <row r="17" spans="1:13" x14ac:dyDescent="0.25">
      <c r="A17" s="2">
        <v>7</v>
      </c>
      <c r="B17" s="2">
        <v>35</v>
      </c>
      <c r="C17" s="2">
        <v>37</v>
      </c>
      <c r="D17" s="2">
        <v>39</v>
      </c>
      <c r="E17" s="2">
        <v>44</v>
      </c>
      <c r="F17" s="2">
        <v>45</v>
      </c>
      <c r="H17" s="2">
        <v>7</v>
      </c>
      <c r="I17" s="2">
        <v>10</v>
      </c>
      <c r="J17" s="2">
        <v>11</v>
      </c>
      <c r="K17" s="2">
        <v>12</v>
      </c>
      <c r="L17" s="2">
        <v>13</v>
      </c>
      <c r="M17" s="2">
        <v>14</v>
      </c>
    </row>
    <row r="18" spans="1:13" x14ac:dyDescent="0.25">
      <c r="A18" s="2">
        <v>8</v>
      </c>
      <c r="B18" s="2">
        <v>41</v>
      </c>
      <c r="C18" s="2">
        <v>42</v>
      </c>
      <c r="D18" s="2">
        <v>43</v>
      </c>
      <c r="E18" s="2">
        <v>47</v>
      </c>
      <c r="F18" s="2">
        <v>49</v>
      </c>
      <c r="H18" s="2">
        <v>8</v>
      </c>
      <c r="I18" s="2">
        <v>11</v>
      </c>
      <c r="J18" s="2">
        <v>12</v>
      </c>
      <c r="K18" s="2">
        <v>13</v>
      </c>
      <c r="L18" s="2">
        <v>14</v>
      </c>
      <c r="M18" s="2">
        <v>15</v>
      </c>
    </row>
    <row r="19" spans="1:13" x14ac:dyDescent="0.25">
      <c r="A19" s="2">
        <v>9</v>
      </c>
      <c r="B19" s="2">
        <v>42</v>
      </c>
      <c r="C19" s="2">
        <v>43</v>
      </c>
      <c r="D19" s="2">
        <v>47</v>
      </c>
      <c r="E19" s="2">
        <v>49</v>
      </c>
      <c r="F19" s="2">
        <v>52</v>
      </c>
      <c r="H19" s="2">
        <v>9</v>
      </c>
      <c r="I19" s="2">
        <v>12</v>
      </c>
      <c r="J19" s="2">
        <v>13</v>
      </c>
      <c r="K19" s="2">
        <v>14</v>
      </c>
      <c r="L19" s="2">
        <v>15</v>
      </c>
      <c r="M19" s="2">
        <v>16</v>
      </c>
    </row>
    <row r="20" spans="1:13" x14ac:dyDescent="0.25">
      <c r="A20" s="2">
        <v>10</v>
      </c>
      <c r="B20" s="2">
        <v>46</v>
      </c>
      <c r="C20" s="2">
        <v>50</v>
      </c>
      <c r="D20" s="2">
        <v>51</v>
      </c>
      <c r="E20" s="2">
        <v>55</v>
      </c>
      <c r="F20" s="2">
        <v>54</v>
      </c>
      <c r="H20" s="2">
        <v>10</v>
      </c>
      <c r="I20" s="2">
        <v>13</v>
      </c>
      <c r="J20" s="2">
        <v>14</v>
      </c>
      <c r="K20" s="2">
        <v>15</v>
      </c>
      <c r="L20" s="2">
        <v>16</v>
      </c>
      <c r="M20" s="2">
        <v>17</v>
      </c>
    </row>
    <row r="21" spans="1:13" x14ac:dyDescent="0.25">
      <c r="A21" s="2">
        <v>11</v>
      </c>
      <c r="B21" s="2">
        <v>50</v>
      </c>
      <c r="C21" s="2">
        <v>51</v>
      </c>
      <c r="D21" s="2">
        <v>52</v>
      </c>
      <c r="E21" s="2">
        <v>56</v>
      </c>
      <c r="F21" s="2" t="s">
        <v>27</v>
      </c>
      <c r="H21" s="2">
        <v>11</v>
      </c>
      <c r="I21" s="2">
        <v>14</v>
      </c>
      <c r="J21" s="2">
        <v>15</v>
      </c>
      <c r="K21" s="2">
        <v>16</v>
      </c>
      <c r="L21" s="2">
        <v>17</v>
      </c>
      <c r="M21" s="2">
        <v>18</v>
      </c>
    </row>
    <row r="22" spans="1:13" x14ac:dyDescent="0.25">
      <c r="A22" s="2">
        <v>12</v>
      </c>
      <c r="B22" s="2">
        <v>48</v>
      </c>
      <c r="C22" s="2">
        <v>55</v>
      </c>
      <c r="D22" s="2">
        <v>56</v>
      </c>
      <c r="E22" s="2" t="s">
        <v>27</v>
      </c>
      <c r="F22" s="2" t="s">
        <v>27</v>
      </c>
      <c r="H22" s="2">
        <v>12</v>
      </c>
      <c r="I22" s="2">
        <v>15</v>
      </c>
      <c r="J22" s="2">
        <v>16</v>
      </c>
      <c r="K22" s="2">
        <v>17</v>
      </c>
      <c r="L22" s="2">
        <v>18</v>
      </c>
      <c r="M22" s="2">
        <v>19</v>
      </c>
    </row>
    <row r="23" spans="1:13" x14ac:dyDescent="0.25">
      <c r="H23" s="2">
        <v>14</v>
      </c>
      <c r="I23" s="2">
        <v>16</v>
      </c>
      <c r="J23" s="2">
        <v>17</v>
      </c>
      <c r="K23" s="2">
        <v>18</v>
      </c>
      <c r="L23" s="2">
        <v>19</v>
      </c>
      <c r="M23" s="2">
        <v>20</v>
      </c>
    </row>
    <row r="24" spans="1:13" x14ac:dyDescent="0.25">
      <c r="H24" s="2">
        <v>15</v>
      </c>
      <c r="I24" s="2">
        <v>17</v>
      </c>
      <c r="J24" s="2">
        <v>18</v>
      </c>
      <c r="K24" s="2">
        <v>19</v>
      </c>
      <c r="L24" s="2">
        <v>20</v>
      </c>
      <c r="M24" s="2">
        <v>21</v>
      </c>
    </row>
    <row r="25" spans="1:13" x14ac:dyDescent="0.25">
      <c r="H25" s="2">
        <v>16</v>
      </c>
      <c r="I25" s="2">
        <v>18</v>
      </c>
      <c r="J25" s="2">
        <v>19</v>
      </c>
      <c r="K25" s="2">
        <v>20</v>
      </c>
      <c r="L25" s="2">
        <v>21</v>
      </c>
      <c r="M25" s="2">
        <v>22</v>
      </c>
    </row>
    <row r="26" spans="1:13" x14ac:dyDescent="0.25">
      <c r="H26" s="2">
        <v>17</v>
      </c>
      <c r="I26" s="2">
        <v>19</v>
      </c>
      <c r="J26" s="2">
        <v>20</v>
      </c>
      <c r="K26" s="2">
        <v>21</v>
      </c>
      <c r="L26" s="2">
        <v>22</v>
      </c>
      <c r="M26" s="2" t="s">
        <v>27</v>
      </c>
    </row>
    <row r="27" spans="1:13" x14ac:dyDescent="0.25">
      <c r="H27" s="2">
        <v>18</v>
      </c>
      <c r="I27" s="2">
        <v>20</v>
      </c>
      <c r="J27" s="2">
        <v>21</v>
      </c>
      <c r="K27" s="2">
        <v>22</v>
      </c>
      <c r="L27" s="2" t="s">
        <v>27</v>
      </c>
      <c r="M27" s="3" t="s">
        <v>27</v>
      </c>
    </row>
    <row r="28" spans="1:13" x14ac:dyDescent="0.25">
      <c r="H28" s="2">
        <v>19</v>
      </c>
      <c r="I28" s="2">
        <v>21</v>
      </c>
      <c r="J28" s="2">
        <v>22</v>
      </c>
      <c r="K28" s="2" t="s">
        <v>27</v>
      </c>
      <c r="L28" s="3" t="s">
        <v>27</v>
      </c>
      <c r="M28" s="3" t="s">
        <v>27</v>
      </c>
    </row>
    <row r="29" spans="1:13" x14ac:dyDescent="0.25">
      <c r="H29" s="2">
        <v>20</v>
      </c>
      <c r="I29" s="2">
        <v>22</v>
      </c>
      <c r="J29" s="3" t="s">
        <v>27</v>
      </c>
      <c r="K29" s="3" t="s">
        <v>27</v>
      </c>
      <c r="L29" s="3" t="s">
        <v>27</v>
      </c>
      <c r="M29" s="2" t="s">
        <v>27</v>
      </c>
    </row>
  </sheetData>
  <mergeCells count="6">
    <mergeCell ref="A2:A3"/>
    <mergeCell ref="B2:F2"/>
    <mergeCell ref="A1:F1"/>
    <mergeCell ref="H2:H3"/>
    <mergeCell ref="I2:M2"/>
    <mergeCell ref="H1:M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opLeftCell="A3" workbookViewId="0">
      <selection activeCell="E38" sqref="E38"/>
    </sheetView>
  </sheetViews>
  <sheetFormatPr defaultRowHeight="15" x14ac:dyDescent="0.25"/>
  <cols>
    <col min="1" max="1" width="13.140625" bestFit="1" customWidth="1"/>
    <col min="2" max="2" width="4.7109375" bestFit="1" customWidth="1"/>
    <col min="3" max="3" width="4.5703125" bestFit="1" customWidth="1"/>
    <col min="4" max="4" width="3" bestFit="1" customWidth="1"/>
    <col min="5" max="5" width="6.140625" bestFit="1" customWidth="1"/>
    <col min="6" max="6" width="4" bestFit="1" customWidth="1"/>
    <col min="7" max="7" width="6.140625" bestFit="1" customWidth="1"/>
    <col min="8" max="8" width="4" bestFit="1" customWidth="1"/>
    <col min="9" max="9" width="5.7109375" bestFit="1" customWidth="1"/>
    <col min="10" max="11" width="4" bestFit="1" customWidth="1"/>
    <col min="12" max="12" width="6.140625" bestFit="1" customWidth="1"/>
    <col min="13" max="13" width="4" bestFit="1" customWidth="1"/>
  </cols>
  <sheetData>
    <row r="1" spans="1:13" x14ac:dyDescent="0.25">
      <c r="A1" s="4" t="s">
        <v>25</v>
      </c>
      <c r="B1" s="4" t="s">
        <v>48</v>
      </c>
      <c r="C1" s="4" t="s">
        <v>55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54</v>
      </c>
      <c r="J1" s="4" t="s">
        <v>13</v>
      </c>
      <c r="K1" s="4" t="s">
        <v>18</v>
      </c>
      <c r="L1" s="4" t="s">
        <v>53</v>
      </c>
      <c r="M1" s="4" t="s">
        <v>38</v>
      </c>
    </row>
    <row r="2" spans="1:13" x14ac:dyDescent="0.25">
      <c r="A2" s="4" t="s">
        <v>52</v>
      </c>
      <c r="B2" s="4" t="s">
        <v>51</v>
      </c>
      <c r="C2" s="4"/>
      <c r="D2" s="4" t="s">
        <v>50</v>
      </c>
      <c r="E2" s="4" t="s">
        <v>49</v>
      </c>
      <c r="F2" s="4"/>
      <c r="G2" s="4"/>
      <c r="H2" s="4"/>
      <c r="I2" s="4"/>
      <c r="J2" s="4"/>
      <c r="K2" s="4"/>
      <c r="L2" s="4"/>
      <c r="M2" s="4"/>
    </row>
    <row r="3" spans="1:13" x14ac:dyDescent="0.25">
      <c r="A3" s="4" t="s">
        <v>48</v>
      </c>
      <c r="B3" s="4">
        <v>3</v>
      </c>
      <c r="C3" s="4"/>
      <c r="D3" s="4">
        <v>7</v>
      </c>
      <c r="E3" s="4">
        <v>10</v>
      </c>
      <c r="F3" s="4" t="s">
        <v>47</v>
      </c>
      <c r="G3" s="4" t="s">
        <v>46</v>
      </c>
      <c r="H3" s="4" t="s">
        <v>45</v>
      </c>
      <c r="I3" s="4" t="s">
        <v>44</v>
      </c>
      <c r="J3" s="4" t="s">
        <v>43</v>
      </c>
      <c r="K3" s="4"/>
      <c r="L3" s="4"/>
      <c r="M3" s="4"/>
    </row>
    <row r="4" spans="1:13" x14ac:dyDescent="0.25">
      <c r="A4" s="4" t="s">
        <v>42</v>
      </c>
      <c r="B4" s="4">
        <v>4</v>
      </c>
      <c r="C4" s="4">
        <v>5</v>
      </c>
      <c r="D4" s="4">
        <v>7</v>
      </c>
      <c r="E4" s="4">
        <v>10</v>
      </c>
      <c r="F4" s="4">
        <v>12</v>
      </c>
      <c r="G4" s="4">
        <v>15</v>
      </c>
      <c r="H4" s="4">
        <v>17</v>
      </c>
      <c r="I4" s="4">
        <v>18</v>
      </c>
      <c r="J4" s="4">
        <v>19</v>
      </c>
      <c r="K4" s="4"/>
      <c r="L4" s="4"/>
      <c r="M4" s="4"/>
    </row>
    <row r="5" spans="1:13" x14ac:dyDescent="0.25">
      <c r="A5" s="4" t="s">
        <v>7</v>
      </c>
      <c r="B5" s="4">
        <v>5</v>
      </c>
      <c r="C5" s="4"/>
      <c r="D5" s="4">
        <v>9</v>
      </c>
      <c r="E5" s="4">
        <v>11</v>
      </c>
      <c r="F5" s="4">
        <v>13</v>
      </c>
      <c r="G5" s="4">
        <v>15</v>
      </c>
      <c r="H5" s="4">
        <v>17</v>
      </c>
      <c r="I5" s="4">
        <v>18</v>
      </c>
      <c r="J5" s="4">
        <v>19</v>
      </c>
      <c r="K5" s="4"/>
      <c r="L5" s="4"/>
      <c r="M5" s="4"/>
    </row>
    <row r="6" spans="1:13" x14ac:dyDescent="0.25">
      <c r="A6" s="4" t="s">
        <v>41</v>
      </c>
      <c r="B6" s="4">
        <v>6</v>
      </c>
      <c r="C6" s="4">
        <v>7</v>
      </c>
      <c r="D6" s="4">
        <v>9</v>
      </c>
      <c r="E6" s="4">
        <v>12</v>
      </c>
      <c r="F6" s="4">
        <v>13</v>
      </c>
      <c r="G6" s="4">
        <v>15</v>
      </c>
      <c r="H6" s="4">
        <v>17</v>
      </c>
      <c r="I6" s="4">
        <v>18</v>
      </c>
      <c r="J6" s="4">
        <v>19</v>
      </c>
      <c r="K6" s="4"/>
      <c r="L6" s="4"/>
      <c r="M6" s="4"/>
    </row>
    <row r="7" spans="1:13" x14ac:dyDescent="0.25">
      <c r="A7" s="4" t="s">
        <v>8</v>
      </c>
      <c r="B7" s="4">
        <v>7</v>
      </c>
      <c r="C7" s="4"/>
      <c r="D7" s="4">
        <v>10</v>
      </c>
      <c r="E7" s="4">
        <v>12</v>
      </c>
      <c r="F7" s="4">
        <v>15</v>
      </c>
      <c r="G7" s="4">
        <v>17</v>
      </c>
      <c r="H7" s="4">
        <v>18</v>
      </c>
      <c r="I7" s="4">
        <v>19</v>
      </c>
      <c r="J7" s="4">
        <v>20</v>
      </c>
      <c r="K7" s="4"/>
      <c r="L7" s="4"/>
      <c r="M7" s="4"/>
    </row>
    <row r="8" spans="1:13" x14ac:dyDescent="0.25">
      <c r="A8" s="4" t="s">
        <v>9</v>
      </c>
      <c r="B8" s="4">
        <v>9</v>
      </c>
      <c r="C8" s="4"/>
      <c r="D8" s="4">
        <v>11</v>
      </c>
      <c r="E8" s="4">
        <v>13</v>
      </c>
      <c r="F8" s="4">
        <v>15</v>
      </c>
      <c r="G8" s="4">
        <v>17</v>
      </c>
      <c r="H8" s="4">
        <v>18</v>
      </c>
      <c r="I8" s="4">
        <v>19</v>
      </c>
      <c r="J8" s="4">
        <v>20</v>
      </c>
      <c r="K8" s="4" t="s">
        <v>40</v>
      </c>
      <c r="L8" s="4" t="s">
        <v>39</v>
      </c>
      <c r="M8" s="4" t="s">
        <v>39</v>
      </c>
    </row>
    <row r="9" spans="1:13" x14ac:dyDescent="0.25">
      <c r="A9" s="4" t="s">
        <v>10</v>
      </c>
      <c r="B9" s="4">
        <v>10</v>
      </c>
      <c r="C9" s="4"/>
      <c r="D9" s="4">
        <v>12</v>
      </c>
      <c r="E9" s="4">
        <v>15</v>
      </c>
      <c r="F9" s="4">
        <v>17</v>
      </c>
      <c r="G9" s="4">
        <v>18</v>
      </c>
      <c r="H9" s="4">
        <v>19</v>
      </c>
      <c r="I9" s="4">
        <v>20</v>
      </c>
      <c r="J9" s="4">
        <v>21</v>
      </c>
      <c r="K9" s="4">
        <v>22</v>
      </c>
      <c r="L9" s="4">
        <v>23</v>
      </c>
      <c r="M9" s="4">
        <v>24</v>
      </c>
    </row>
    <row r="10" spans="1:13" x14ac:dyDescent="0.25">
      <c r="A10" s="4" t="s">
        <v>11</v>
      </c>
      <c r="B10" s="4">
        <v>11</v>
      </c>
      <c r="C10" s="4"/>
      <c r="D10" s="4">
        <v>13</v>
      </c>
      <c r="E10" s="4">
        <v>15</v>
      </c>
      <c r="F10" s="4">
        <v>17</v>
      </c>
      <c r="G10" s="4">
        <v>18</v>
      </c>
      <c r="H10" s="4">
        <v>19</v>
      </c>
      <c r="I10" s="4">
        <v>20</v>
      </c>
      <c r="J10" s="4">
        <v>21</v>
      </c>
      <c r="K10" s="4">
        <v>23</v>
      </c>
      <c r="L10" s="4">
        <v>24</v>
      </c>
      <c r="M10" s="4">
        <v>25</v>
      </c>
    </row>
    <row r="11" spans="1:13" x14ac:dyDescent="0.25">
      <c r="A11" s="4" t="s">
        <v>12</v>
      </c>
      <c r="B11" s="4">
        <v>12</v>
      </c>
      <c r="C11" s="4"/>
      <c r="D11" s="4">
        <v>15</v>
      </c>
      <c r="E11" s="4">
        <v>17</v>
      </c>
      <c r="F11" s="4">
        <v>18</v>
      </c>
      <c r="G11" s="4">
        <v>19</v>
      </c>
      <c r="H11" s="4">
        <v>20</v>
      </c>
      <c r="I11" s="4">
        <v>21</v>
      </c>
      <c r="J11" s="4">
        <v>22</v>
      </c>
      <c r="K11" s="4">
        <v>23</v>
      </c>
      <c r="L11" s="4">
        <v>24</v>
      </c>
      <c r="M11" s="4">
        <v>25</v>
      </c>
    </row>
    <row r="12" spans="1:13" x14ac:dyDescent="0.25">
      <c r="A12" s="4" t="s">
        <v>13</v>
      </c>
      <c r="B12" s="4">
        <v>13</v>
      </c>
      <c r="C12" s="4"/>
      <c r="D12" s="4">
        <v>15</v>
      </c>
      <c r="E12" s="4">
        <v>17</v>
      </c>
      <c r="F12" s="4">
        <v>18</v>
      </c>
      <c r="G12" s="4">
        <v>19</v>
      </c>
      <c r="H12" s="4">
        <v>20</v>
      </c>
      <c r="I12" s="4">
        <v>21</v>
      </c>
      <c r="J12" s="4">
        <v>22</v>
      </c>
      <c r="K12" s="4">
        <v>24</v>
      </c>
      <c r="L12" s="4">
        <v>25</v>
      </c>
      <c r="M12" s="4">
        <v>26</v>
      </c>
    </row>
    <row r="13" spans="1:13" x14ac:dyDescent="0.25">
      <c r="A13" s="4" t="s">
        <v>18</v>
      </c>
      <c r="B13" s="4">
        <v>15</v>
      </c>
      <c r="C13" s="4"/>
      <c r="D13" s="4">
        <v>17</v>
      </c>
      <c r="E13" s="4">
        <v>18</v>
      </c>
      <c r="F13" s="4">
        <v>19</v>
      </c>
      <c r="G13" s="4">
        <v>20</v>
      </c>
      <c r="H13" s="4">
        <v>21</v>
      </c>
      <c r="I13" s="4">
        <v>22</v>
      </c>
      <c r="J13" s="4">
        <v>23</v>
      </c>
      <c r="K13" s="4">
        <v>25</v>
      </c>
      <c r="L13" s="4">
        <v>26</v>
      </c>
      <c r="M13" s="4">
        <v>27</v>
      </c>
    </row>
    <row r="14" spans="1:13" x14ac:dyDescent="0.25">
      <c r="A14" s="4" t="s">
        <v>38</v>
      </c>
      <c r="B14" s="4">
        <v>17</v>
      </c>
      <c r="C14" s="4"/>
      <c r="D14" s="4">
        <v>18</v>
      </c>
      <c r="E14" s="4">
        <v>19</v>
      </c>
      <c r="F14" s="4">
        <v>20</v>
      </c>
      <c r="G14" s="4">
        <v>21</v>
      </c>
      <c r="H14" s="4">
        <v>22</v>
      </c>
      <c r="I14" s="4">
        <v>23</v>
      </c>
      <c r="J14" s="4">
        <v>24</v>
      </c>
      <c r="K14" s="4">
        <v>26</v>
      </c>
      <c r="L14" s="4">
        <v>27</v>
      </c>
      <c r="M14" s="4">
        <v>28</v>
      </c>
    </row>
    <row r="15" spans="1:13" x14ac:dyDescent="0.25">
      <c r="A15" s="4" t="s">
        <v>37</v>
      </c>
      <c r="B15" s="4">
        <v>19</v>
      </c>
      <c r="C15" s="4"/>
      <c r="D15" s="4">
        <v>20</v>
      </c>
      <c r="E15" s="4">
        <v>21</v>
      </c>
      <c r="F15" s="4">
        <v>22</v>
      </c>
      <c r="G15" s="4">
        <v>23</v>
      </c>
      <c r="H15" s="4">
        <v>24</v>
      </c>
      <c r="I15" s="4">
        <v>25</v>
      </c>
      <c r="J15" s="4">
        <v>26</v>
      </c>
      <c r="K15" s="4">
        <v>26</v>
      </c>
      <c r="L15" s="4">
        <v>29</v>
      </c>
      <c r="M15" s="4">
        <v>30</v>
      </c>
    </row>
    <row r="16" spans="1:13" x14ac:dyDescent="0.25">
      <c r="A16" s="4" t="s">
        <v>36</v>
      </c>
      <c r="B16" s="4"/>
      <c r="C16" s="4"/>
      <c r="D16" s="4">
        <v>22</v>
      </c>
      <c r="E16" s="4">
        <v>23</v>
      </c>
      <c r="F16" s="4">
        <v>24</v>
      </c>
      <c r="G16" s="4">
        <v>25</v>
      </c>
      <c r="H16" s="4">
        <v>26</v>
      </c>
      <c r="I16" s="4">
        <v>27</v>
      </c>
      <c r="J16" s="4">
        <v>28</v>
      </c>
      <c r="K16" s="4">
        <v>30</v>
      </c>
      <c r="L16" s="4">
        <v>31</v>
      </c>
      <c r="M16" s="4">
        <v>32</v>
      </c>
    </row>
    <row r="17" spans="1:13" x14ac:dyDescent="0.25">
      <c r="A17" s="4" t="s">
        <v>35</v>
      </c>
      <c r="B17" s="4"/>
      <c r="C17" s="4"/>
      <c r="D17" s="4">
        <v>24</v>
      </c>
      <c r="E17" s="4">
        <v>25</v>
      </c>
      <c r="F17" s="4">
        <v>26</v>
      </c>
      <c r="G17" s="4">
        <v>27</v>
      </c>
      <c r="H17" s="4">
        <v>28</v>
      </c>
      <c r="I17" s="4">
        <v>29</v>
      </c>
      <c r="J17" s="4">
        <v>30</v>
      </c>
      <c r="K17" s="4">
        <v>32</v>
      </c>
      <c r="L17" s="4">
        <v>34</v>
      </c>
      <c r="M17" s="4">
        <v>34</v>
      </c>
    </row>
    <row r="18" spans="1:13" x14ac:dyDescent="0.25">
      <c r="A18" s="4" t="s">
        <v>34</v>
      </c>
      <c r="B18" s="4"/>
      <c r="C18" s="4"/>
      <c r="D18" s="4">
        <v>25</v>
      </c>
      <c r="E18" s="4">
        <v>26</v>
      </c>
      <c r="F18" s="4">
        <v>27</v>
      </c>
      <c r="G18" s="4">
        <v>28</v>
      </c>
      <c r="H18" s="4">
        <v>29</v>
      </c>
      <c r="I18" s="4">
        <v>30</v>
      </c>
      <c r="J18" s="4">
        <v>31</v>
      </c>
      <c r="K18" s="4">
        <v>33</v>
      </c>
      <c r="L18" s="4">
        <v>34</v>
      </c>
      <c r="M18" s="4">
        <v>35</v>
      </c>
    </row>
    <row r="19" spans="1:13" x14ac:dyDescent="0.25">
      <c r="A19" s="4" t="s">
        <v>33</v>
      </c>
      <c r="B19" s="4"/>
      <c r="C19" s="4"/>
      <c r="D19" s="4">
        <v>27</v>
      </c>
      <c r="E19" s="4">
        <v>28</v>
      </c>
      <c r="F19" s="4">
        <v>29</v>
      </c>
      <c r="G19" s="4">
        <v>30</v>
      </c>
      <c r="H19" s="4">
        <v>31</v>
      </c>
      <c r="I19" s="4">
        <v>32</v>
      </c>
      <c r="J19" s="4">
        <v>33</v>
      </c>
      <c r="K19" s="4">
        <v>35</v>
      </c>
      <c r="L19" s="4">
        <v>36</v>
      </c>
      <c r="M19" s="4">
        <v>37</v>
      </c>
    </row>
    <row r="20" spans="1:13" x14ac:dyDescent="0.25">
      <c r="A20" s="4" t="s">
        <v>32</v>
      </c>
      <c r="B20" s="4"/>
      <c r="C20" s="4"/>
      <c r="D20" s="4">
        <v>29</v>
      </c>
      <c r="E20" s="4">
        <v>30</v>
      </c>
      <c r="F20" s="4">
        <v>31</v>
      </c>
      <c r="G20" s="4">
        <v>32</v>
      </c>
      <c r="H20" s="4">
        <v>33</v>
      </c>
      <c r="I20" s="4">
        <v>34</v>
      </c>
      <c r="J20" s="4">
        <v>35</v>
      </c>
      <c r="K20" s="4">
        <v>37</v>
      </c>
      <c r="L20" s="4">
        <v>38</v>
      </c>
      <c r="M20" s="4">
        <v>39</v>
      </c>
    </row>
    <row r="21" spans="1:13" x14ac:dyDescent="0.25">
      <c r="A21" s="4" t="s">
        <v>31</v>
      </c>
      <c r="B21" s="4"/>
      <c r="C21" s="4"/>
      <c r="D21" s="4">
        <v>31</v>
      </c>
      <c r="E21" s="4">
        <v>32</v>
      </c>
      <c r="F21" s="4">
        <v>33</v>
      </c>
      <c r="G21" s="4">
        <v>34</v>
      </c>
      <c r="H21" s="4">
        <v>35</v>
      </c>
      <c r="I21" s="4">
        <v>36</v>
      </c>
      <c r="J21" s="4">
        <v>37</v>
      </c>
      <c r="K21" s="4">
        <v>39</v>
      </c>
      <c r="L21" s="4">
        <v>40</v>
      </c>
      <c r="M21" s="4">
        <v>41</v>
      </c>
    </row>
    <row r="22" spans="1:13" x14ac:dyDescent="0.25">
      <c r="A22" s="4" t="s">
        <v>30</v>
      </c>
      <c r="B22" s="4"/>
      <c r="C22" s="4"/>
      <c r="D22" s="4">
        <v>33</v>
      </c>
      <c r="E22" s="4">
        <v>34</v>
      </c>
      <c r="F22" s="4">
        <v>35</v>
      </c>
      <c r="G22" s="4">
        <v>36</v>
      </c>
      <c r="H22" s="4">
        <v>37</v>
      </c>
      <c r="I22" s="4">
        <v>38</v>
      </c>
      <c r="J22" s="4">
        <v>39</v>
      </c>
      <c r="K22" s="4">
        <v>41</v>
      </c>
      <c r="L22" s="4">
        <v>42</v>
      </c>
      <c r="M22" s="4">
        <v>43</v>
      </c>
    </row>
    <row r="23" spans="1:13" x14ac:dyDescent="0.25">
      <c r="A23" s="4" t="s">
        <v>29</v>
      </c>
      <c r="B23" s="4"/>
      <c r="C23" s="4"/>
      <c r="D23" s="4">
        <v>35</v>
      </c>
      <c r="E23" s="4">
        <v>36</v>
      </c>
      <c r="F23" s="4">
        <v>37</v>
      </c>
      <c r="G23" s="4">
        <v>38</v>
      </c>
      <c r="H23" s="4">
        <v>39</v>
      </c>
      <c r="I23" s="4">
        <v>40</v>
      </c>
      <c r="J23" s="4">
        <v>41</v>
      </c>
      <c r="K23" s="4">
        <v>43</v>
      </c>
      <c r="L23" s="4">
        <v>44</v>
      </c>
      <c r="M23" s="4">
        <v>45</v>
      </c>
    </row>
  </sheetData>
  <pageMargins left="0.7" right="0.7" top="0.75" bottom="0.75" header="0.3" footer="0.3"/>
  <pageSetup paperSize="2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>
      <selection activeCell="B20" sqref="B20"/>
    </sheetView>
  </sheetViews>
  <sheetFormatPr defaultRowHeight="15" x14ac:dyDescent="0.25"/>
  <cols>
    <col min="1" max="1" width="18.140625" bestFit="1" customWidth="1"/>
    <col min="2" max="2" width="9.7109375" bestFit="1" customWidth="1"/>
    <col min="3" max="3" width="4.7109375" bestFit="1" customWidth="1"/>
    <col min="4" max="4" width="4.5703125" bestFit="1" customWidth="1"/>
    <col min="5" max="5" width="3" bestFit="1" customWidth="1"/>
    <col min="6" max="6" width="6.140625" bestFit="1" customWidth="1"/>
    <col min="7" max="7" width="4" bestFit="1" customWidth="1"/>
    <col min="8" max="8" width="6.140625" bestFit="1" customWidth="1"/>
    <col min="9" max="9" width="4" bestFit="1" customWidth="1"/>
    <col min="10" max="10" width="6.140625" bestFit="1" customWidth="1"/>
    <col min="11" max="12" width="4" bestFit="1" customWidth="1"/>
    <col min="13" max="13" width="6.140625" bestFit="1" customWidth="1"/>
    <col min="14" max="14" width="4" bestFit="1" customWidth="1"/>
  </cols>
  <sheetData>
    <row r="1" spans="1:14" x14ac:dyDescent="0.25">
      <c r="A1" s="12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4" t="s">
        <v>73</v>
      </c>
      <c r="B2" s="4" t="s">
        <v>72</v>
      </c>
      <c r="C2" s="4" t="s">
        <v>48</v>
      </c>
      <c r="D2" s="4" t="s">
        <v>55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18</v>
      </c>
      <c r="M2" s="4" t="s">
        <v>53</v>
      </c>
      <c r="N2" s="4" t="s">
        <v>38</v>
      </c>
    </row>
    <row r="3" spans="1:14" x14ac:dyDescent="0.25">
      <c r="A3" s="4" t="s">
        <v>52</v>
      </c>
      <c r="B3" s="4" t="s">
        <v>48</v>
      </c>
      <c r="C3" s="4"/>
      <c r="D3" s="4"/>
      <c r="E3" s="4" t="s">
        <v>71</v>
      </c>
      <c r="F3" s="4" t="s">
        <v>49</v>
      </c>
      <c r="G3" s="4" t="s">
        <v>70</v>
      </c>
      <c r="H3" s="4" t="s">
        <v>69</v>
      </c>
      <c r="I3" s="4" t="s">
        <v>46</v>
      </c>
      <c r="J3" s="4"/>
      <c r="K3" s="4"/>
      <c r="L3" s="4"/>
      <c r="M3" s="4"/>
      <c r="N3" s="4"/>
    </row>
    <row r="4" spans="1:14" x14ac:dyDescent="0.25">
      <c r="A4" s="4" t="s">
        <v>48</v>
      </c>
      <c r="B4" s="4" t="s">
        <v>68</v>
      </c>
      <c r="C4" s="4">
        <v>2</v>
      </c>
      <c r="D4" s="4">
        <v>3</v>
      </c>
      <c r="E4" s="4">
        <v>7</v>
      </c>
      <c r="F4" s="4">
        <v>9</v>
      </c>
      <c r="G4" s="4">
        <v>11</v>
      </c>
      <c r="H4" s="4">
        <v>13</v>
      </c>
      <c r="I4" s="4">
        <v>15</v>
      </c>
      <c r="J4" s="4"/>
      <c r="K4" s="4"/>
      <c r="L4" s="4"/>
      <c r="M4" s="4"/>
      <c r="N4" s="4"/>
    </row>
    <row r="5" spans="1:14" x14ac:dyDescent="0.25">
      <c r="A5" s="4" t="s">
        <v>42</v>
      </c>
      <c r="B5" s="4" t="s">
        <v>67</v>
      </c>
      <c r="C5" s="4">
        <v>3</v>
      </c>
      <c r="D5" s="4">
        <v>3</v>
      </c>
      <c r="E5" s="4">
        <v>7</v>
      </c>
      <c r="F5" s="4">
        <v>10</v>
      </c>
      <c r="G5" s="4">
        <v>12</v>
      </c>
      <c r="H5" s="4">
        <v>15</v>
      </c>
      <c r="I5" s="4">
        <v>17</v>
      </c>
      <c r="J5" s="4">
        <v>18</v>
      </c>
      <c r="K5" s="4" t="s">
        <v>66</v>
      </c>
      <c r="L5" s="4"/>
      <c r="M5" s="4"/>
      <c r="N5" s="4"/>
    </row>
    <row r="6" spans="1:14" x14ac:dyDescent="0.25">
      <c r="A6" s="4" t="s">
        <v>7</v>
      </c>
      <c r="B6" s="5" t="s">
        <v>65</v>
      </c>
      <c r="C6" s="4">
        <v>4</v>
      </c>
      <c r="D6" s="4">
        <v>5</v>
      </c>
      <c r="E6" s="4">
        <v>7</v>
      </c>
      <c r="F6" s="4">
        <v>10</v>
      </c>
      <c r="G6" s="4">
        <v>12</v>
      </c>
      <c r="H6" s="4">
        <v>15</v>
      </c>
      <c r="I6" s="4">
        <v>17</v>
      </c>
      <c r="J6" s="4">
        <v>18</v>
      </c>
      <c r="K6" s="4">
        <v>19</v>
      </c>
      <c r="L6" s="4"/>
      <c r="M6" s="4"/>
      <c r="N6" s="4"/>
    </row>
    <row r="7" spans="1:14" x14ac:dyDescent="0.25">
      <c r="A7" s="4" t="s">
        <v>41</v>
      </c>
      <c r="B7" s="4" t="s">
        <v>64</v>
      </c>
      <c r="C7" s="4">
        <v>5</v>
      </c>
      <c r="D7" s="4">
        <v>5</v>
      </c>
      <c r="E7" s="4">
        <v>9</v>
      </c>
      <c r="F7" s="4">
        <v>11</v>
      </c>
      <c r="G7" s="4">
        <v>13</v>
      </c>
      <c r="H7" s="4">
        <v>15</v>
      </c>
      <c r="I7" s="4">
        <v>17</v>
      </c>
      <c r="J7" s="4">
        <v>18</v>
      </c>
      <c r="K7" s="4">
        <v>19</v>
      </c>
      <c r="L7" s="4"/>
      <c r="M7" s="4"/>
      <c r="N7" s="4"/>
    </row>
    <row r="8" spans="1:14" x14ac:dyDescent="0.25">
      <c r="A8" s="4" t="s">
        <v>8</v>
      </c>
      <c r="B8" s="4" t="s">
        <v>63</v>
      </c>
      <c r="C8" s="4">
        <v>6</v>
      </c>
      <c r="D8" s="4">
        <v>7</v>
      </c>
      <c r="E8" s="4">
        <v>9</v>
      </c>
      <c r="F8" s="4">
        <v>12</v>
      </c>
      <c r="G8" s="4">
        <v>13</v>
      </c>
      <c r="H8" s="4">
        <v>15</v>
      </c>
      <c r="I8" s="4">
        <v>17</v>
      </c>
      <c r="J8" s="4">
        <v>18</v>
      </c>
      <c r="K8" s="4">
        <v>19</v>
      </c>
      <c r="L8" s="4"/>
      <c r="M8" s="4"/>
      <c r="N8" s="4"/>
    </row>
    <row r="9" spans="1:14" x14ac:dyDescent="0.25">
      <c r="A9" s="4" t="s">
        <v>9</v>
      </c>
      <c r="B9" s="4" t="s">
        <v>62</v>
      </c>
      <c r="C9" s="4">
        <v>8</v>
      </c>
      <c r="D9" s="4">
        <v>9</v>
      </c>
      <c r="E9" s="4">
        <v>10</v>
      </c>
      <c r="F9" s="4">
        <v>12</v>
      </c>
      <c r="G9" s="4">
        <v>15</v>
      </c>
      <c r="H9" s="4">
        <v>17</v>
      </c>
      <c r="I9" s="4">
        <v>18</v>
      </c>
      <c r="J9" s="4">
        <v>19</v>
      </c>
      <c r="K9" s="4">
        <v>20</v>
      </c>
      <c r="L9" s="4" t="s">
        <v>40</v>
      </c>
      <c r="M9" s="4" t="s">
        <v>39</v>
      </c>
      <c r="N9" s="4" t="s">
        <v>39</v>
      </c>
    </row>
    <row r="10" spans="1:14" x14ac:dyDescent="0.25">
      <c r="A10" s="4" t="s">
        <v>10</v>
      </c>
      <c r="B10" s="4" t="s">
        <v>61</v>
      </c>
      <c r="C10" s="4">
        <v>9</v>
      </c>
      <c r="D10" s="4">
        <v>10</v>
      </c>
      <c r="E10" s="4">
        <v>11</v>
      </c>
      <c r="F10" s="4">
        <v>13</v>
      </c>
      <c r="G10" s="4">
        <v>15</v>
      </c>
      <c r="H10" s="4">
        <v>17</v>
      </c>
      <c r="I10" s="4">
        <v>18</v>
      </c>
      <c r="J10" s="4">
        <v>19</v>
      </c>
      <c r="K10" s="4">
        <v>20</v>
      </c>
      <c r="L10" s="4">
        <v>22</v>
      </c>
      <c r="M10" s="4">
        <v>23</v>
      </c>
      <c r="N10" s="4">
        <v>24</v>
      </c>
    </row>
    <row r="11" spans="1:14" x14ac:dyDescent="0.25">
      <c r="A11" s="4" t="s">
        <v>11</v>
      </c>
      <c r="B11" s="4" t="s">
        <v>60</v>
      </c>
      <c r="C11" s="4">
        <v>10</v>
      </c>
      <c r="D11" s="4">
        <v>11</v>
      </c>
      <c r="E11" s="4">
        <v>12</v>
      </c>
      <c r="F11" s="4">
        <v>15</v>
      </c>
      <c r="G11" s="4">
        <v>17</v>
      </c>
      <c r="H11" s="4">
        <v>18</v>
      </c>
      <c r="I11" s="4">
        <v>19</v>
      </c>
      <c r="J11" s="4">
        <v>20</v>
      </c>
      <c r="K11" s="4">
        <v>21</v>
      </c>
      <c r="L11" s="4">
        <v>23</v>
      </c>
      <c r="M11" s="4">
        <v>24</v>
      </c>
      <c r="N11" s="4">
        <v>25</v>
      </c>
    </row>
    <row r="12" spans="1:14" x14ac:dyDescent="0.25">
      <c r="A12" s="4" t="s">
        <v>12</v>
      </c>
      <c r="B12" s="4" t="s">
        <v>59</v>
      </c>
      <c r="C12" s="4">
        <v>11</v>
      </c>
      <c r="D12" s="4">
        <v>11</v>
      </c>
      <c r="E12" s="4">
        <v>13</v>
      </c>
      <c r="F12" s="4">
        <v>15</v>
      </c>
      <c r="G12" s="4">
        <v>17</v>
      </c>
      <c r="H12" s="4">
        <v>18</v>
      </c>
      <c r="I12" s="4">
        <v>19</v>
      </c>
      <c r="J12" s="4">
        <v>20</v>
      </c>
      <c r="K12" s="4">
        <v>21</v>
      </c>
      <c r="L12" s="4">
        <v>23</v>
      </c>
      <c r="M12" s="4">
        <v>24</v>
      </c>
      <c r="N12" s="4">
        <v>25</v>
      </c>
    </row>
    <row r="13" spans="1:14" x14ac:dyDescent="0.25">
      <c r="A13" s="4" t="s">
        <v>13</v>
      </c>
      <c r="B13" s="4" t="s">
        <v>58</v>
      </c>
      <c r="C13" s="4">
        <v>12</v>
      </c>
      <c r="D13" s="4">
        <v>13</v>
      </c>
      <c r="E13" s="4">
        <v>15</v>
      </c>
      <c r="F13" s="4">
        <v>17</v>
      </c>
      <c r="G13" s="4">
        <v>18</v>
      </c>
      <c r="H13" s="4">
        <v>19</v>
      </c>
      <c r="I13" s="4">
        <v>20</v>
      </c>
      <c r="J13" s="4">
        <v>21</v>
      </c>
      <c r="K13" s="4">
        <v>22</v>
      </c>
      <c r="L13" s="4">
        <v>24</v>
      </c>
      <c r="M13" s="4">
        <v>25</v>
      </c>
      <c r="N13" s="4">
        <v>26</v>
      </c>
    </row>
    <row r="14" spans="1:14" x14ac:dyDescent="0.25">
      <c r="A14" s="4" t="s">
        <v>18</v>
      </c>
      <c r="B14" s="4" t="s">
        <v>57</v>
      </c>
      <c r="C14" s="4">
        <v>14</v>
      </c>
      <c r="D14" s="4">
        <v>15</v>
      </c>
      <c r="E14" s="4">
        <v>17</v>
      </c>
      <c r="F14" s="4">
        <v>18</v>
      </c>
      <c r="G14" s="4">
        <v>19</v>
      </c>
      <c r="H14" s="4">
        <v>20</v>
      </c>
      <c r="I14" s="4">
        <v>21</v>
      </c>
      <c r="J14" s="4">
        <v>22</v>
      </c>
      <c r="K14" s="4">
        <v>23</v>
      </c>
      <c r="L14" s="4">
        <v>25</v>
      </c>
      <c r="M14" s="4">
        <v>26</v>
      </c>
      <c r="N14" s="4">
        <v>27</v>
      </c>
    </row>
    <row r="15" spans="1:14" x14ac:dyDescent="0.25">
      <c r="A15" s="4" t="s">
        <v>38</v>
      </c>
      <c r="B15" s="4" t="s">
        <v>56</v>
      </c>
      <c r="C15" s="4">
        <v>16</v>
      </c>
      <c r="D15" s="4">
        <v>17</v>
      </c>
      <c r="E15" s="4">
        <v>18</v>
      </c>
      <c r="F15" s="4">
        <v>19</v>
      </c>
      <c r="G15" s="4">
        <v>20</v>
      </c>
      <c r="H15" s="4">
        <v>21</v>
      </c>
      <c r="I15" s="4">
        <v>22</v>
      </c>
      <c r="J15" s="4">
        <v>23</v>
      </c>
      <c r="K15" s="4">
        <v>24</v>
      </c>
      <c r="L15" s="4">
        <v>26</v>
      </c>
      <c r="M15" s="4">
        <v>27</v>
      </c>
      <c r="N15" s="4">
        <v>28</v>
      </c>
    </row>
  </sheetData>
  <mergeCells count="1">
    <mergeCell ref="A1:N1"/>
  </mergeCells>
  <pageMargins left="0.7" right="0.7" top="0.75" bottom="0.75" header="0.3" footer="0.3"/>
  <pageSetup paperSize="134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workbookViewId="0">
      <selection sqref="A1:M23"/>
    </sheetView>
  </sheetViews>
  <sheetFormatPr defaultRowHeight="15" x14ac:dyDescent="0.25"/>
  <cols>
    <col min="1" max="1" width="13.140625" bestFit="1" customWidth="1"/>
    <col min="2" max="2" width="4.7109375" bestFit="1" customWidth="1"/>
    <col min="3" max="3" width="4.5703125" bestFit="1" customWidth="1"/>
    <col min="4" max="4" width="3" bestFit="1" customWidth="1"/>
    <col min="5" max="5" width="6.140625" bestFit="1" customWidth="1"/>
    <col min="6" max="6" width="4" bestFit="1" customWidth="1"/>
    <col min="7" max="7" width="6.140625" bestFit="1" customWidth="1"/>
    <col min="8" max="8" width="4" bestFit="1" customWidth="1"/>
    <col min="9" max="9" width="5.7109375" bestFit="1" customWidth="1"/>
    <col min="10" max="11" width="4" bestFit="1" customWidth="1"/>
    <col min="12" max="12" width="6.140625" bestFit="1" customWidth="1"/>
    <col min="13" max="13" width="4" bestFit="1" customWidth="1"/>
  </cols>
  <sheetData>
    <row r="1" spans="1:13" x14ac:dyDescent="0.25">
      <c r="A1" s="4" t="s">
        <v>25</v>
      </c>
      <c r="B1" s="4" t="s">
        <v>48</v>
      </c>
      <c r="C1" s="4" t="s">
        <v>55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54</v>
      </c>
      <c r="J1" s="4" t="s">
        <v>13</v>
      </c>
      <c r="K1" s="4" t="s">
        <v>18</v>
      </c>
      <c r="L1" s="4" t="s">
        <v>53</v>
      </c>
      <c r="M1" s="4" t="s">
        <v>38</v>
      </c>
    </row>
    <row r="2" spans="1:13" x14ac:dyDescent="0.25">
      <c r="A2" s="4" t="s">
        <v>52</v>
      </c>
      <c r="B2" s="4" t="s">
        <v>51</v>
      </c>
      <c r="C2" s="4"/>
      <c r="D2" s="4" t="s">
        <v>50</v>
      </c>
      <c r="E2" s="4" t="s">
        <v>49</v>
      </c>
      <c r="F2" s="4"/>
      <c r="G2" s="4"/>
      <c r="H2" s="4"/>
      <c r="I2" s="4"/>
      <c r="J2" s="4"/>
      <c r="K2" s="4"/>
      <c r="L2" s="4"/>
      <c r="M2" s="4"/>
    </row>
    <row r="3" spans="1:13" x14ac:dyDescent="0.25">
      <c r="A3" s="4" t="s">
        <v>48</v>
      </c>
      <c r="B3" s="4">
        <v>3</v>
      </c>
      <c r="C3" s="4"/>
      <c r="D3" s="4">
        <v>7</v>
      </c>
      <c r="E3" s="4">
        <v>10</v>
      </c>
      <c r="F3" s="4" t="s">
        <v>47</v>
      </c>
      <c r="G3" s="4" t="s">
        <v>46</v>
      </c>
      <c r="H3" s="4" t="s">
        <v>45</v>
      </c>
      <c r="I3" s="4" t="s">
        <v>44</v>
      </c>
      <c r="J3" s="4" t="s">
        <v>43</v>
      </c>
      <c r="K3" s="4"/>
      <c r="L3" s="4"/>
      <c r="M3" s="4"/>
    </row>
    <row r="4" spans="1:13" x14ac:dyDescent="0.25">
      <c r="A4" s="4" t="s">
        <v>42</v>
      </c>
      <c r="B4" s="4">
        <v>4</v>
      </c>
      <c r="C4" s="4">
        <v>5</v>
      </c>
      <c r="D4" s="4">
        <v>7</v>
      </c>
      <c r="E4" s="4">
        <v>10</v>
      </c>
      <c r="F4" s="4">
        <v>12</v>
      </c>
      <c r="G4" s="4">
        <v>15</v>
      </c>
      <c r="H4" s="4">
        <v>17</v>
      </c>
      <c r="I4" s="4">
        <v>18</v>
      </c>
      <c r="J4" s="4">
        <v>19</v>
      </c>
      <c r="K4" s="4"/>
      <c r="L4" s="4"/>
      <c r="M4" s="4"/>
    </row>
    <row r="5" spans="1:13" x14ac:dyDescent="0.25">
      <c r="A5" s="4" t="s">
        <v>7</v>
      </c>
      <c r="B5" s="4">
        <v>5</v>
      </c>
      <c r="C5" s="4"/>
      <c r="D5" s="4">
        <v>9</v>
      </c>
      <c r="E5" s="4">
        <v>11</v>
      </c>
      <c r="F5" s="4">
        <v>13</v>
      </c>
      <c r="G5" s="4">
        <v>15</v>
      </c>
      <c r="H5" s="4">
        <v>17</v>
      </c>
      <c r="I5" s="4">
        <v>18</v>
      </c>
      <c r="J5" s="4">
        <v>19</v>
      </c>
      <c r="K5" s="4"/>
      <c r="L5" s="4"/>
      <c r="M5" s="4"/>
    </row>
    <row r="6" spans="1:13" x14ac:dyDescent="0.25">
      <c r="A6" s="4" t="s">
        <v>41</v>
      </c>
      <c r="B6" s="4">
        <v>6</v>
      </c>
      <c r="C6" s="4">
        <v>7</v>
      </c>
      <c r="D6" s="4">
        <v>9</v>
      </c>
      <c r="E6" s="4">
        <v>12</v>
      </c>
      <c r="F6" s="4">
        <v>13</v>
      </c>
      <c r="G6" s="4">
        <v>15</v>
      </c>
      <c r="H6" s="4">
        <v>17</v>
      </c>
      <c r="I6" s="4">
        <v>18</v>
      </c>
      <c r="J6" s="4">
        <v>19</v>
      </c>
      <c r="K6" s="4"/>
      <c r="L6" s="4"/>
      <c r="M6" s="4"/>
    </row>
    <row r="7" spans="1:13" x14ac:dyDescent="0.25">
      <c r="A7" s="4" t="s">
        <v>8</v>
      </c>
      <c r="B7" s="4">
        <v>7</v>
      </c>
      <c r="C7" s="4"/>
      <c r="D7" s="4">
        <v>10</v>
      </c>
      <c r="E7" s="4">
        <v>12</v>
      </c>
      <c r="F7" s="4">
        <v>15</v>
      </c>
      <c r="G7" s="4">
        <v>17</v>
      </c>
      <c r="H7" s="4">
        <v>18</v>
      </c>
      <c r="I7" s="4">
        <v>19</v>
      </c>
      <c r="J7" s="4">
        <v>20</v>
      </c>
      <c r="K7" s="4"/>
      <c r="L7" s="4"/>
      <c r="M7" s="4"/>
    </row>
    <row r="8" spans="1:13" x14ac:dyDescent="0.25">
      <c r="A8" s="4" t="s">
        <v>9</v>
      </c>
      <c r="B8" s="4">
        <v>9</v>
      </c>
      <c r="C8" s="4"/>
      <c r="D8" s="4">
        <v>11</v>
      </c>
      <c r="E8" s="4">
        <v>13</v>
      </c>
      <c r="F8" s="4">
        <v>15</v>
      </c>
      <c r="G8" s="4">
        <v>17</v>
      </c>
      <c r="H8" s="4">
        <v>18</v>
      </c>
      <c r="I8" s="4">
        <v>19</v>
      </c>
      <c r="J8" s="4">
        <v>20</v>
      </c>
      <c r="K8" s="4" t="s">
        <v>40</v>
      </c>
      <c r="L8" s="4" t="s">
        <v>39</v>
      </c>
      <c r="M8" s="4" t="s">
        <v>39</v>
      </c>
    </row>
    <row r="9" spans="1:13" x14ac:dyDescent="0.25">
      <c r="A9" s="4" t="s">
        <v>10</v>
      </c>
      <c r="B9" s="4">
        <v>10</v>
      </c>
      <c r="C9" s="4"/>
      <c r="D9" s="4">
        <v>12</v>
      </c>
      <c r="E9" s="4">
        <v>15</v>
      </c>
      <c r="F9" s="4">
        <v>17</v>
      </c>
      <c r="G9" s="4">
        <v>18</v>
      </c>
      <c r="H9" s="4">
        <v>19</v>
      </c>
      <c r="I9" s="4">
        <v>20</v>
      </c>
      <c r="J9" s="4">
        <v>21</v>
      </c>
      <c r="K9" s="4">
        <v>22</v>
      </c>
      <c r="L9" s="4">
        <v>23</v>
      </c>
      <c r="M9" s="4">
        <v>24</v>
      </c>
    </row>
    <row r="10" spans="1:13" x14ac:dyDescent="0.25">
      <c r="A10" s="4" t="s">
        <v>11</v>
      </c>
      <c r="B10" s="4">
        <v>11</v>
      </c>
      <c r="C10" s="4"/>
      <c r="D10" s="4">
        <v>13</v>
      </c>
      <c r="E10" s="4">
        <v>15</v>
      </c>
      <c r="F10" s="4">
        <v>17</v>
      </c>
      <c r="G10" s="4">
        <v>18</v>
      </c>
      <c r="H10" s="4">
        <v>19</v>
      </c>
      <c r="I10" s="4">
        <v>20</v>
      </c>
      <c r="J10" s="4">
        <v>21</v>
      </c>
      <c r="K10" s="4">
        <v>23</v>
      </c>
      <c r="L10" s="4">
        <v>24</v>
      </c>
      <c r="M10" s="4">
        <v>25</v>
      </c>
    </row>
    <row r="11" spans="1:13" x14ac:dyDescent="0.25">
      <c r="A11" s="4" t="s">
        <v>12</v>
      </c>
      <c r="B11" s="4">
        <v>12</v>
      </c>
      <c r="C11" s="4"/>
      <c r="D11" s="4">
        <v>15</v>
      </c>
      <c r="E11" s="4">
        <v>17</v>
      </c>
      <c r="F11" s="4">
        <v>18</v>
      </c>
      <c r="G11" s="4">
        <v>19</v>
      </c>
      <c r="H11" s="4">
        <v>20</v>
      </c>
      <c r="I11" s="4">
        <v>21</v>
      </c>
      <c r="J11" s="4">
        <v>22</v>
      </c>
      <c r="K11" s="4">
        <v>23</v>
      </c>
      <c r="L11" s="4">
        <v>24</v>
      </c>
      <c r="M11" s="4">
        <v>25</v>
      </c>
    </row>
    <row r="12" spans="1:13" x14ac:dyDescent="0.25">
      <c r="A12" s="4" t="s">
        <v>13</v>
      </c>
      <c r="B12" s="4">
        <v>13</v>
      </c>
      <c r="C12" s="4"/>
      <c r="D12" s="4">
        <v>15</v>
      </c>
      <c r="E12" s="4">
        <v>17</v>
      </c>
      <c r="F12" s="4">
        <v>18</v>
      </c>
      <c r="G12" s="4">
        <v>19</v>
      </c>
      <c r="H12" s="4">
        <v>20</v>
      </c>
      <c r="I12" s="4">
        <v>21</v>
      </c>
      <c r="J12" s="4">
        <v>22</v>
      </c>
      <c r="K12" s="4">
        <v>24</v>
      </c>
      <c r="L12" s="4">
        <v>25</v>
      </c>
      <c r="M12" s="4">
        <v>26</v>
      </c>
    </row>
    <row r="13" spans="1:13" x14ac:dyDescent="0.25">
      <c r="A13" s="4" t="s">
        <v>18</v>
      </c>
      <c r="B13" s="4">
        <v>15</v>
      </c>
      <c r="C13" s="4"/>
      <c r="D13" s="4">
        <v>17</v>
      </c>
      <c r="E13" s="4">
        <v>18</v>
      </c>
      <c r="F13" s="4">
        <v>19</v>
      </c>
      <c r="G13" s="4">
        <v>20</v>
      </c>
      <c r="H13" s="4">
        <v>21</v>
      </c>
      <c r="I13" s="4">
        <v>22</v>
      </c>
      <c r="J13" s="4">
        <v>23</v>
      </c>
      <c r="K13" s="4">
        <v>25</v>
      </c>
      <c r="L13" s="4">
        <v>26</v>
      </c>
      <c r="M13" s="4">
        <v>27</v>
      </c>
    </row>
    <row r="14" spans="1:13" x14ac:dyDescent="0.25">
      <c r="A14" s="4" t="s">
        <v>38</v>
      </c>
      <c r="B14" s="4">
        <v>17</v>
      </c>
      <c r="C14" s="4"/>
      <c r="D14" s="4">
        <v>18</v>
      </c>
      <c r="E14" s="4">
        <v>19</v>
      </c>
      <c r="F14" s="4">
        <v>20</v>
      </c>
      <c r="G14" s="4">
        <v>21</v>
      </c>
      <c r="H14" s="4">
        <v>22</v>
      </c>
      <c r="I14" s="4">
        <v>23</v>
      </c>
      <c r="J14" s="4">
        <v>24</v>
      </c>
      <c r="K14" s="4">
        <v>26</v>
      </c>
      <c r="L14" s="4">
        <v>27</v>
      </c>
      <c r="M14" s="4">
        <v>28</v>
      </c>
    </row>
    <row r="15" spans="1:13" x14ac:dyDescent="0.25">
      <c r="A15" s="4" t="s">
        <v>37</v>
      </c>
      <c r="B15" s="4">
        <v>19</v>
      </c>
      <c r="C15" s="4"/>
      <c r="D15" s="4">
        <v>20</v>
      </c>
      <c r="E15" s="4">
        <v>21</v>
      </c>
      <c r="F15" s="4">
        <v>22</v>
      </c>
      <c r="G15" s="4">
        <v>23</v>
      </c>
      <c r="H15" s="4">
        <v>24</v>
      </c>
      <c r="I15" s="4">
        <v>25</v>
      </c>
      <c r="J15" s="4">
        <v>26</v>
      </c>
      <c r="K15" s="4">
        <v>26</v>
      </c>
      <c r="L15" s="4">
        <v>29</v>
      </c>
      <c r="M15" s="4">
        <v>30</v>
      </c>
    </row>
    <row r="16" spans="1:13" x14ac:dyDescent="0.25">
      <c r="A16" s="4" t="s">
        <v>36</v>
      </c>
      <c r="B16" s="4"/>
      <c r="C16" s="4"/>
      <c r="D16" s="4">
        <v>22</v>
      </c>
      <c r="E16" s="4">
        <v>23</v>
      </c>
      <c r="F16" s="4">
        <v>24</v>
      </c>
      <c r="G16" s="4">
        <v>25</v>
      </c>
      <c r="H16" s="4">
        <v>26</v>
      </c>
      <c r="I16" s="4">
        <v>27</v>
      </c>
      <c r="J16" s="4">
        <v>28</v>
      </c>
      <c r="K16" s="4">
        <v>30</v>
      </c>
      <c r="L16" s="4">
        <v>31</v>
      </c>
      <c r="M16" s="4">
        <v>32</v>
      </c>
    </row>
    <row r="17" spans="1:13" x14ac:dyDescent="0.25">
      <c r="A17" s="4" t="s">
        <v>35</v>
      </c>
      <c r="B17" s="4"/>
      <c r="C17" s="4"/>
      <c r="D17" s="4">
        <v>24</v>
      </c>
      <c r="E17" s="4">
        <v>25</v>
      </c>
      <c r="F17" s="4">
        <v>26</v>
      </c>
      <c r="G17" s="4">
        <v>27</v>
      </c>
      <c r="H17" s="4">
        <v>28</v>
      </c>
      <c r="I17" s="4">
        <v>29</v>
      </c>
      <c r="J17" s="4">
        <v>30</v>
      </c>
      <c r="K17" s="4">
        <v>32</v>
      </c>
      <c r="L17" s="4">
        <v>34</v>
      </c>
      <c r="M17" s="4">
        <v>34</v>
      </c>
    </row>
    <row r="18" spans="1:13" x14ac:dyDescent="0.25">
      <c r="A18" s="4" t="s">
        <v>34</v>
      </c>
      <c r="B18" s="4"/>
      <c r="C18" s="4"/>
      <c r="D18" s="4">
        <v>25</v>
      </c>
      <c r="E18" s="4">
        <v>26</v>
      </c>
      <c r="F18" s="4">
        <v>27</v>
      </c>
      <c r="G18" s="4">
        <v>28</v>
      </c>
      <c r="H18" s="4">
        <v>29</v>
      </c>
      <c r="I18" s="4">
        <v>30</v>
      </c>
      <c r="J18" s="4">
        <v>31</v>
      </c>
      <c r="K18" s="4">
        <v>33</v>
      </c>
      <c r="L18" s="4">
        <v>34</v>
      </c>
      <c r="M18" s="4">
        <v>35</v>
      </c>
    </row>
    <row r="19" spans="1:13" x14ac:dyDescent="0.25">
      <c r="A19" s="4" t="s">
        <v>33</v>
      </c>
      <c r="B19" s="4"/>
      <c r="C19" s="4"/>
      <c r="D19" s="4">
        <v>27</v>
      </c>
      <c r="E19" s="4">
        <v>28</v>
      </c>
      <c r="F19" s="4">
        <v>29</v>
      </c>
      <c r="G19" s="4">
        <v>30</v>
      </c>
      <c r="H19" s="4">
        <v>31</v>
      </c>
      <c r="I19" s="4">
        <v>32</v>
      </c>
      <c r="J19" s="4">
        <v>33</v>
      </c>
      <c r="K19" s="4">
        <v>35</v>
      </c>
      <c r="L19" s="4">
        <v>36</v>
      </c>
      <c r="M19" s="4">
        <v>37</v>
      </c>
    </row>
    <row r="20" spans="1:13" x14ac:dyDescent="0.25">
      <c r="A20" s="4" t="s">
        <v>32</v>
      </c>
      <c r="B20" s="4"/>
      <c r="C20" s="4"/>
      <c r="D20" s="4">
        <v>29</v>
      </c>
      <c r="E20" s="4">
        <v>30</v>
      </c>
      <c r="F20" s="4">
        <v>31</v>
      </c>
      <c r="G20" s="4">
        <v>32</v>
      </c>
      <c r="H20" s="4">
        <v>33</v>
      </c>
      <c r="I20" s="4">
        <v>34</v>
      </c>
      <c r="J20" s="4">
        <v>35</v>
      </c>
      <c r="K20" s="4">
        <v>37</v>
      </c>
      <c r="L20" s="4">
        <v>38</v>
      </c>
      <c r="M20" s="4">
        <v>39</v>
      </c>
    </row>
    <row r="21" spans="1:13" x14ac:dyDescent="0.25">
      <c r="A21" s="4" t="s">
        <v>31</v>
      </c>
      <c r="B21" s="4"/>
      <c r="C21" s="4"/>
      <c r="D21" s="4">
        <v>31</v>
      </c>
      <c r="E21" s="4">
        <v>32</v>
      </c>
      <c r="F21" s="4">
        <v>33</v>
      </c>
      <c r="G21" s="4">
        <v>34</v>
      </c>
      <c r="H21" s="4">
        <v>35</v>
      </c>
      <c r="I21" s="4">
        <v>36</v>
      </c>
      <c r="J21" s="4">
        <v>37</v>
      </c>
      <c r="K21" s="4">
        <v>39</v>
      </c>
      <c r="L21" s="4">
        <v>40</v>
      </c>
      <c r="M21" s="4">
        <v>41</v>
      </c>
    </row>
    <row r="22" spans="1:13" x14ac:dyDescent="0.25">
      <c r="A22" s="4" t="s">
        <v>30</v>
      </c>
      <c r="B22" s="4"/>
      <c r="C22" s="4"/>
      <c r="D22" s="4">
        <v>33</v>
      </c>
      <c r="E22" s="4">
        <v>34</v>
      </c>
      <c r="F22" s="4">
        <v>35</v>
      </c>
      <c r="G22" s="4">
        <v>36</v>
      </c>
      <c r="H22" s="4">
        <v>37</v>
      </c>
      <c r="I22" s="4">
        <v>38</v>
      </c>
      <c r="J22" s="4">
        <v>39</v>
      </c>
      <c r="K22" s="4">
        <v>41</v>
      </c>
      <c r="L22" s="4">
        <v>42</v>
      </c>
      <c r="M22" s="4">
        <v>43</v>
      </c>
    </row>
    <row r="23" spans="1:13" x14ac:dyDescent="0.25">
      <c r="A23" s="4" t="s">
        <v>29</v>
      </c>
      <c r="B23" s="4"/>
      <c r="C23" s="4"/>
      <c r="D23" s="4">
        <v>35</v>
      </c>
      <c r="E23" s="4">
        <v>36</v>
      </c>
      <c r="F23" s="4">
        <v>37</v>
      </c>
      <c r="G23" s="4">
        <v>38</v>
      </c>
      <c r="H23" s="4">
        <v>39</v>
      </c>
      <c r="I23" s="4">
        <v>40</v>
      </c>
      <c r="J23" s="4">
        <v>41</v>
      </c>
      <c r="K23" s="4">
        <v>43</v>
      </c>
      <c r="L23" s="4">
        <v>44</v>
      </c>
      <c r="M23" s="4">
        <v>45</v>
      </c>
    </row>
  </sheetData>
  <pageMargins left="0.7" right="0.7" top="0.75" bottom="0.75" header="0.3" footer="0.3"/>
  <pageSetup paperSize="28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>
      <selection activeCell="P17" sqref="P17"/>
    </sheetView>
  </sheetViews>
  <sheetFormatPr defaultRowHeight="15" x14ac:dyDescent="0.25"/>
  <cols>
    <col min="1" max="1" width="18.140625" bestFit="1" customWidth="1"/>
    <col min="2" max="2" width="9.7109375" bestFit="1" customWidth="1"/>
    <col min="3" max="3" width="4.7109375" bestFit="1" customWidth="1"/>
    <col min="4" max="4" width="4.5703125" bestFit="1" customWidth="1"/>
    <col min="5" max="5" width="3" bestFit="1" customWidth="1"/>
    <col min="6" max="6" width="6.140625" bestFit="1" customWidth="1"/>
    <col min="7" max="7" width="4" bestFit="1" customWidth="1"/>
    <col min="8" max="8" width="6.140625" bestFit="1" customWidth="1"/>
    <col min="9" max="9" width="4" bestFit="1" customWidth="1"/>
    <col min="10" max="10" width="6.140625" bestFit="1" customWidth="1"/>
    <col min="11" max="12" width="4" bestFit="1" customWidth="1"/>
    <col min="13" max="13" width="6.140625" bestFit="1" customWidth="1"/>
    <col min="14" max="14" width="4" bestFit="1" customWidth="1"/>
  </cols>
  <sheetData>
    <row r="1" spans="1:14" x14ac:dyDescent="0.25">
      <c r="A1" s="12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4" t="s">
        <v>73</v>
      </c>
      <c r="B2" s="4" t="s">
        <v>72</v>
      </c>
      <c r="C2" s="4" t="s">
        <v>48</v>
      </c>
      <c r="D2" s="4" t="s">
        <v>55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18</v>
      </c>
      <c r="M2" s="4" t="s">
        <v>53</v>
      </c>
      <c r="N2" s="4" t="s">
        <v>38</v>
      </c>
    </row>
    <row r="3" spans="1:14" x14ac:dyDescent="0.25">
      <c r="A3" s="4" t="s">
        <v>52</v>
      </c>
      <c r="B3" s="4" t="s">
        <v>48</v>
      </c>
      <c r="C3" s="4"/>
      <c r="D3" s="4"/>
      <c r="E3" s="4" t="s">
        <v>71</v>
      </c>
      <c r="F3" s="4" t="s">
        <v>49</v>
      </c>
      <c r="G3" s="4" t="s">
        <v>70</v>
      </c>
      <c r="H3" s="4" t="s">
        <v>69</v>
      </c>
      <c r="I3" s="4" t="s">
        <v>46</v>
      </c>
      <c r="J3" s="4"/>
      <c r="K3" s="4"/>
      <c r="L3" s="4"/>
      <c r="M3" s="4"/>
      <c r="N3" s="4"/>
    </row>
    <row r="4" spans="1:14" x14ac:dyDescent="0.25">
      <c r="A4" s="4" t="s">
        <v>48</v>
      </c>
      <c r="B4" s="4" t="s">
        <v>68</v>
      </c>
      <c r="C4" s="4">
        <v>2</v>
      </c>
      <c r="D4" s="4">
        <v>3</v>
      </c>
      <c r="E4" s="4">
        <v>7</v>
      </c>
      <c r="F4" s="4">
        <v>9</v>
      </c>
      <c r="G4" s="4">
        <v>11</v>
      </c>
      <c r="H4" s="4">
        <v>13</v>
      </c>
      <c r="I4" s="4">
        <v>15</v>
      </c>
      <c r="J4" s="4"/>
      <c r="K4" s="4"/>
      <c r="L4" s="4"/>
      <c r="M4" s="4"/>
      <c r="N4" s="4"/>
    </row>
    <row r="5" spans="1:14" x14ac:dyDescent="0.25">
      <c r="A5" s="4" t="s">
        <v>42</v>
      </c>
      <c r="B5" s="4" t="s">
        <v>67</v>
      </c>
      <c r="C5" s="4">
        <v>3</v>
      </c>
      <c r="D5" s="4">
        <v>3</v>
      </c>
      <c r="E5" s="4">
        <v>7</v>
      </c>
      <c r="F5" s="4">
        <v>10</v>
      </c>
      <c r="G5" s="4">
        <v>12</v>
      </c>
      <c r="H5" s="4">
        <v>15</v>
      </c>
      <c r="I5" s="4">
        <v>17</v>
      </c>
      <c r="J5" s="4">
        <v>18</v>
      </c>
      <c r="K5" s="4" t="s">
        <v>66</v>
      </c>
      <c r="L5" s="4"/>
      <c r="M5" s="4"/>
      <c r="N5" s="4"/>
    </row>
    <row r="6" spans="1:14" x14ac:dyDescent="0.25">
      <c r="A6" s="4" t="s">
        <v>7</v>
      </c>
      <c r="B6" s="5" t="s">
        <v>65</v>
      </c>
      <c r="C6" s="4">
        <v>4</v>
      </c>
      <c r="D6" s="4">
        <v>5</v>
      </c>
      <c r="E6" s="4">
        <v>7</v>
      </c>
      <c r="F6" s="4">
        <v>10</v>
      </c>
      <c r="G6" s="4">
        <v>12</v>
      </c>
      <c r="H6" s="4">
        <v>15</v>
      </c>
      <c r="I6" s="4">
        <v>17</v>
      </c>
      <c r="J6" s="4">
        <v>18</v>
      </c>
      <c r="K6" s="4">
        <v>19</v>
      </c>
      <c r="L6" s="4"/>
      <c r="M6" s="4"/>
      <c r="N6" s="4"/>
    </row>
    <row r="7" spans="1:14" x14ac:dyDescent="0.25">
      <c r="A7" s="4" t="s">
        <v>41</v>
      </c>
      <c r="B7" s="4" t="s">
        <v>64</v>
      </c>
      <c r="C7" s="4">
        <v>5</v>
      </c>
      <c r="D7" s="4">
        <v>5</v>
      </c>
      <c r="E7" s="4">
        <v>9</v>
      </c>
      <c r="F7" s="4">
        <v>11</v>
      </c>
      <c r="G7" s="4">
        <v>13</v>
      </c>
      <c r="H7" s="4">
        <v>15</v>
      </c>
      <c r="I7" s="4">
        <v>17</v>
      </c>
      <c r="J7" s="4">
        <v>18</v>
      </c>
      <c r="K7" s="4">
        <v>19</v>
      </c>
      <c r="L7" s="4"/>
      <c r="M7" s="4"/>
      <c r="N7" s="4"/>
    </row>
    <row r="8" spans="1:14" x14ac:dyDescent="0.25">
      <c r="A8" s="4" t="s">
        <v>8</v>
      </c>
      <c r="B8" s="4" t="s">
        <v>63</v>
      </c>
      <c r="C8" s="4">
        <v>6</v>
      </c>
      <c r="D8" s="4">
        <v>7</v>
      </c>
      <c r="E8" s="4">
        <v>9</v>
      </c>
      <c r="F8" s="4">
        <v>12</v>
      </c>
      <c r="G8" s="4">
        <v>13</v>
      </c>
      <c r="H8" s="4">
        <v>15</v>
      </c>
      <c r="I8" s="4">
        <v>17</v>
      </c>
      <c r="J8" s="4">
        <v>18</v>
      </c>
      <c r="K8" s="4">
        <v>19</v>
      </c>
      <c r="L8" s="4"/>
      <c r="M8" s="4"/>
      <c r="N8" s="4"/>
    </row>
    <row r="9" spans="1:14" x14ac:dyDescent="0.25">
      <c r="A9" s="4" t="s">
        <v>9</v>
      </c>
      <c r="B9" s="4" t="s">
        <v>62</v>
      </c>
      <c r="C9" s="4">
        <v>8</v>
      </c>
      <c r="D9" s="4">
        <v>9</v>
      </c>
      <c r="E9" s="4">
        <v>10</v>
      </c>
      <c r="F9" s="4">
        <v>12</v>
      </c>
      <c r="G9" s="4">
        <v>15</v>
      </c>
      <c r="H9" s="4">
        <v>17</v>
      </c>
      <c r="I9" s="4">
        <v>18</v>
      </c>
      <c r="J9" s="4">
        <v>19</v>
      </c>
      <c r="K9" s="4">
        <v>20</v>
      </c>
      <c r="L9" s="4" t="s">
        <v>40</v>
      </c>
      <c r="M9" s="4" t="s">
        <v>39</v>
      </c>
      <c r="N9" s="4" t="s">
        <v>39</v>
      </c>
    </row>
    <row r="10" spans="1:14" x14ac:dyDescent="0.25">
      <c r="A10" s="4" t="s">
        <v>10</v>
      </c>
      <c r="B10" s="4" t="s">
        <v>61</v>
      </c>
      <c r="C10" s="4">
        <v>9</v>
      </c>
      <c r="D10" s="4">
        <v>10</v>
      </c>
      <c r="E10" s="4">
        <v>11</v>
      </c>
      <c r="F10" s="4">
        <v>13</v>
      </c>
      <c r="G10" s="4">
        <v>15</v>
      </c>
      <c r="H10" s="4">
        <v>17</v>
      </c>
      <c r="I10" s="4">
        <v>18</v>
      </c>
      <c r="J10" s="4">
        <v>19</v>
      </c>
      <c r="K10" s="4">
        <v>20</v>
      </c>
      <c r="L10" s="4">
        <v>22</v>
      </c>
      <c r="M10" s="4">
        <v>23</v>
      </c>
      <c r="N10" s="4">
        <v>24</v>
      </c>
    </row>
    <row r="11" spans="1:14" x14ac:dyDescent="0.25">
      <c r="A11" s="4" t="s">
        <v>11</v>
      </c>
      <c r="B11" s="4" t="s">
        <v>60</v>
      </c>
      <c r="C11" s="4">
        <v>10</v>
      </c>
      <c r="D11" s="4">
        <v>11</v>
      </c>
      <c r="E11" s="4">
        <v>12</v>
      </c>
      <c r="F11" s="4">
        <v>15</v>
      </c>
      <c r="G11" s="4">
        <v>17</v>
      </c>
      <c r="H11" s="4">
        <v>18</v>
      </c>
      <c r="I11" s="4">
        <v>19</v>
      </c>
      <c r="J11" s="4">
        <v>20</v>
      </c>
      <c r="K11" s="4">
        <v>21</v>
      </c>
      <c r="L11" s="4">
        <v>23</v>
      </c>
      <c r="M11" s="4">
        <v>24</v>
      </c>
      <c r="N11" s="4">
        <v>25</v>
      </c>
    </row>
    <row r="12" spans="1:14" x14ac:dyDescent="0.25">
      <c r="A12" s="4" t="s">
        <v>12</v>
      </c>
      <c r="B12" s="4" t="s">
        <v>59</v>
      </c>
      <c r="C12" s="4">
        <v>11</v>
      </c>
      <c r="D12" s="4">
        <v>11</v>
      </c>
      <c r="E12" s="4">
        <v>13</v>
      </c>
      <c r="F12" s="4">
        <v>15</v>
      </c>
      <c r="G12" s="4">
        <v>17</v>
      </c>
      <c r="H12" s="4">
        <v>18</v>
      </c>
      <c r="I12" s="4">
        <v>19</v>
      </c>
      <c r="J12" s="4">
        <v>20</v>
      </c>
      <c r="K12" s="4">
        <v>21</v>
      </c>
      <c r="L12" s="4">
        <v>23</v>
      </c>
      <c r="M12" s="4">
        <v>24</v>
      </c>
      <c r="N12" s="4">
        <v>25</v>
      </c>
    </row>
    <row r="13" spans="1:14" x14ac:dyDescent="0.25">
      <c r="A13" s="4" t="s">
        <v>13</v>
      </c>
      <c r="B13" s="4" t="s">
        <v>58</v>
      </c>
      <c r="C13" s="4">
        <v>12</v>
      </c>
      <c r="D13" s="4">
        <v>13</v>
      </c>
      <c r="E13" s="4">
        <v>15</v>
      </c>
      <c r="F13" s="4">
        <v>17</v>
      </c>
      <c r="G13" s="4">
        <v>18</v>
      </c>
      <c r="H13" s="4">
        <v>19</v>
      </c>
      <c r="I13" s="4">
        <v>20</v>
      </c>
      <c r="J13" s="4">
        <v>21</v>
      </c>
      <c r="K13" s="4">
        <v>22</v>
      </c>
      <c r="L13" s="4">
        <v>24</v>
      </c>
      <c r="M13" s="4">
        <v>25</v>
      </c>
      <c r="N13" s="4">
        <v>26</v>
      </c>
    </row>
    <row r="14" spans="1:14" x14ac:dyDescent="0.25">
      <c r="A14" s="4" t="s">
        <v>18</v>
      </c>
      <c r="B14" s="4" t="s">
        <v>57</v>
      </c>
      <c r="C14" s="4">
        <v>14</v>
      </c>
      <c r="D14" s="4">
        <v>15</v>
      </c>
      <c r="E14" s="4">
        <v>17</v>
      </c>
      <c r="F14" s="4">
        <v>18</v>
      </c>
      <c r="G14" s="4">
        <v>19</v>
      </c>
      <c r="H14" s="4">
        <v>20</v>
      </c>
      <c r="I14" s="4">
        <v>21</v>
      </c>
      <c r="J14" s="4">
        <v>22</v>
      </c>
      <c r="K14" s="4">
        <v>23</v>
      </c>
      <c r="L14" s="4">
        <v>25</v>
      </c>
      <c r="M14" s="4">
        <v>26</v>
      </c>
      <c r="N14" s="4">
        <v>27</v>
      </c>
    </row>
    <row r="15" spans="1:14" x14ac:dyDescent="0.25">
      <c r="A15" s="4" t="s">
        <v>38</v>
      </c>
      <c r="B15" s="4" t="s">
        <v>56</v>
      </c>
      <c r="C15" s="4">
        <v>16</v>
      </c>
      <c r="D15" s="4">
        <v>17</v>
      </c>
      <c r="E15" s="4">
        <v>18</v>
      </c>
      <c r="F15" s="4">
        <v>19</v>
      </c>
      <c r="G15" s="4">
        <v>20</v>
      </c>
      <c r="H15" s="4">
        <v>21</v>
      </c>
      <c r="I15" s="4">
        <v>22</v>
      </c>
      <c r="J15" s="4">
        <v>23</v>
      </c>
      <c r="K15" s="4">
        <v>24</v>
      </c>
      <c r="L15" s="4">
        <v>26</v>
      </c>
      <c r="M15" s="4">
        <v>27</v>
      </c>
      <c r="N15" s="4">
        <v>28</v>
      </c>
    </row>
  </sheetData>
  <mergeCells count="1">
    <mergeCell ref="A1:N1"/>
  </mergeCells>
  <pageMargins left="0.7" right="0.7" top="0.75" bottom="0.75" header="0.3" footer="0.3"/>
  <pageSetup paperSize="134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selection activeCell="M14" sqref="M14"/>
    </sheetView>
  </sheetViews>
  <sheetFormatPr defaultRowHeight="15" x14ac:dyDescent="0.25"/>
  <sheetData>
    <row r="1" spans="1:17" x14ac:dyDescent="0.25">
      <c r="A1" s="13" t="s">
        <v>79</v>
      </c>
      <c r="B1" s="13"/>
      <c r="C1" s="13"/>
      <c r="D1" s="13"/>
      <c r="E1" s="13"/>
      <c r="F1" s="13"/>
      <c r="G1" s="13"/>
      <c r="H1" s="13"/>
      <c r="J1" s="13" t="s">
        <v>78</v>
      </c>
      <c r="K1" s="13"/>
      <c r="L1" s="13"/>
      <c r="M1" s="13"/>
      <c r="N1" s="13"/>
      <c r="O1" s="13"/>
      <c r="P1" s="13"/>
      <c r="Q1" s="13"/>
    </row>
    <row r="2" spans="1:17" x14ac:dyDescent="0.25">
      <c r="A2" t="s">
        <v>25</v>
      </c>
      <c r="B2" s="13" t="s">
        <v>26</v>
      </c>
      <c r="C2" s="13"/>
      <c r="D2" s="13"/>
      <c r="E2" s="13"/>
      <c r="F2" s="13"/>
      <c r="G2" s="13"/>
      <c r="H2" s="13"/>
      <c r="J2" t="s">
        <v>25</v>
      </c>
      <c r="K2" s="13" t="s">
        <v>26</v>
      </c>
      <c r="L2" s="13"/>
      <c r="M2" s="13"/>
      <c r="N2" s="13"/>
      <c r="O2" s="13"/>
      <c r="P2" s="13"/>
      <c r="Q2" s="13"/>
    </row>
    <row r="3" spans="1:17" x14ac:dyDescent="0.25">
      <c r="A3" t="s">
        <v>77</v>
      </c>
      <c r="B3">
        <v>25</v>
      </c>
      <c r="C3">
        <v>38</v>
      </c>
      <c r="D3">
        <v>51</v>
      </c>
      <c r="E3">
        <v>64</v>
      </c>
      <c r="F3">
        <v>76</v>
      </c>
      <c r="G3">
        <v>89</v>
      </c>
      <c r="H3">
        <v>102</v>
      </c>
      <c r="J3" t="s">
        <v>77</v>
      </c>
      <c r="K3">
        <v>25</v>
      </c>
      <c r="L3">
        <v>38</v>
      </c>
      <c r="M3">
        <v>51</v>
      </c>
      <c r="N3">
        <v>64</v>
      </c>
      <c r="O3">
        <v>76</v>
      </c>
      <c r="P3">
        <v>89</v>
      </c>
      <c r="Q3">
        <v>102</v>
      </c>
    </row>
    <row r="4" spans="1:17" x14ac:dyDescent="0.25">
      <c r="A4" t="s">
        <v>76</v>
      </c>
      <c r="B4">
        <v>1</v>
      </c>
      <c r="C4">
        <v>1.5</v>
      </c>
      <c r="D4">
        <v>2</v>
      </c>
      <c r="E4">
        <v>2.5</v>
      </c>
      <c r="F4">
        <v>3</v>
      </c>
      <c r="G4">
        <v>3.25</v>
      </c>
      <c r="H4">
        <v>4</v>
      </c>
      <c r="J4" t="s">
        <v>76</v>
      </c>
      <c r="K4">
        <v>1</v>
      </c>
      <c r="L4">
        <v>1.5</v>
      </c>
      <c r="M4">
        <v>2</v>
      </c>
      <c r="N4">
        <v>2.5</v>
      </c>
      <c r="O4">
        <v>3</v>
      </c>
      <c r="P4">
        <v>3.25</v>
      </c>
      <c r="Q4">
        <v>4</v>
      </c>
    </row>
    <row r="5" spans="1:17" x14ac:dyDescent="0.25">
      <c r="A5">
        <v>0.5</v>
      </c>
      <c r="B5">
        <v>2</v>
      </c>
      <c r="C5">
        <v>5</v>
      </c>
      <c r="D5">
        <v>8</v>
      </c>
      <c r="E5">
        <v>12</v>
      </c>
      <c r="F5">
        <v>23</v>
      </c>
      <c r="G5">
        <v>15</v>
      </c>
      <c r="H5">
        <v>25</v>
      </c>
      <c r="J5">
        <v>0.5</v>
      </c>
      <c r="K5">
        <v>1</v>
      </c>
      <c r="L5">
        <v>3</v>
      </c>
      <c r="M5">
        <v>5</v>
      </c>
      <c r="N5">
        <v>7</v>
      </c>
      <c r="O5">
        <v>8</v>
      </c>
      <c r="P5">
        <v>9</v>
      </c>
      <c r="Q5">
        <v>10</v>
      </c>
    </row>
    <row r="6" spans="1:17" x14ac:dyDescent="0.25">
      <c r="A6">
        <v>0.75</v>
      </c>
      <c r="B6">
        <v>2</v>
      </c>
      <c r="C6">
        <v>5</v>
      </c>
      <c r="D6">
        <v>8</v>
      </c>
      <c r="E6">
        <v>12</v>
      </c>
      <c r="F6">
        <v>23</v>
      </c>
      <c r="G6">
        <v>15</v>
      </c>
      <c r="H6">
        <v>25</v>
      </c>
      <c r="J6">
        <v>0.75</v>
      </c>
      <c r="K6">
        <v>1</v>
      </c>
      <c r="L6">
        <v>3</v>
      </c>
      <c r="M6">
        <v>5</v>
      </c>
      <c r="N6">
        <v>7</v>
      </c>
      <c r="O6">
        <v>8</v>
      </c>
      <c r="P6">
        <v>9</v>
      </c>
      <c r="Q6">
        <v>10</v>
      </c>
    </row>
    <row r="7" spans="1:17" x14ac:dyDescent="0.25">
      <c r="A7">
        <v>1</v>
      </c>
      <c r="B7">
        <v>3</v>
      </c>
      <c r="C7">
        <v>6</v>
      </c>
      <c r="D7">
        <v>11</v>
      </c>
      <c r="E7">
        <v>12</v>
      </c>
      <c r="F7">
        <v>23</v>
      </c>
      <c r="G7">
        <v>15</v>
      </c>
      <c r="H7">
        <v>25</v>
      </c>
      <c r="J7">
        <v>1</v>
      </c>
      <c r="K7">
        <v>2</v>
      </c>
      <c r="L7">
        <v>4</v>
      </c>
      <c r="M7">
        <v>6</v>
      </c>
      <c r="N7">
        <v>7</v>
      </c>
      <c r="O7">
        <v>8</v>
      </c>
      <c r="P7">
        <v>9</v>
      </c>
      <c r="Q7">
        <v>10</v>
      </c>
    </row>
    <row r="8" spans="1:17" x14ac:dyDescent="0.25">
      <c r="A8">
        <v>1.25</v>
      </c>
      <c r="B8">
        <v>3</v>
      </c>
      <c r="C8">
        <v>9</v>
      </c>
      <c r="D8">
        <v>11</v>
      </c>
      <c r="E8">
        <v>18</v>
      </c>
      <c r="F8">
        <v>23</v>
      </c>
      <c r="G8">
        <v>15</v>
      </c>
      <c r="H8">
        <v>25</v>
      </c>
      <c r="J8">
        <v>1.25</v>
      </c>
      <c r="K8">
        <v>2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</row>
    <row r="9" spans="1:17" x14ac:dyDescent="0.25">
      <c r="A9">
        <v>1.5</v>
      </c>
      <c r="B9">
        <v>4</v>
      </c>
      <c r="C9">
        <v>9</v>
      </c>
      <c r="D9">
        <v>18</v>
      </c>
      <c r="E9">
        <v>23</v>
      </c>
      <c r="F9">
        <v>15</v>
      </c>
      <c r="G9">
        <v>25</v>
      </c>
      <c r="H9">
        <v>26</v>
      </c>
      <c r="J9">
        <v>1.5</v>
      </c>
      <c r="K9">
        <v>3</v>
      </c>
      <c r="L9">
        <v>5</v>
      </c>
      <c r="M9">
        <v>7</v>
      </c>
      <c r="N9">
        <v>8</v>
      </c>
      <c r="O9">
        <v>9</v>
      </c>
      <c r="P9">
        <v>10</v>
      </c>
      <c r="Q9">
        <v>11</v>
      </c>
    </row>
    <row r="10" spans="1:17" x14ac:dyDescent="0.25">
      <c r="A10">
        <v>2</v>
      </c>
      <c r="B10">
        <v>7</v>
      </c>
      <c r="C10">
        <v>10</v>
      </c>
      <c r="D10">
        <v>18</v>
      </c>
      <c r="E10">
        <v>20</v>
      </c>
      <c r="F10">
        <v>24</v>
      </c>
      <c r="G10">
        <v>25</v>
      </c>
      <c r="H10">
        <v>26</v>
      </c>
      <c r="J10">
        <v>2</v>
      </c>
      <c r="K10">
        <v>4</v>
      </c>
      <c r="L10">
        <v>6</v>
      </c>
      <c r="M10">
        <v>7</v>
      </c>
      <c r="N10">
        <v>8</v>
      </c>
      <c r="O10">
        <v>9</v>
      </c>
      <c r="P10">
        <v>10</v>
      </c>
      <c r="Q10">
        <v>11</v>
      </c>
    </row>
    <row r="11" spans="1:17" x14ac:dyDescent="0.25">
      <c r="A11">
        <v>2.5</v>
      </c>
      <c r="B11">
        <v>13</v>
      </c>
      <c r="C11">
        <v>16</v>
      </c>
      <c r="D11">
        <v>20</v>
      </c>
      <c r="E11">
        <v>24</v>
      </c>
      <c r="F11">
        <v>25</v>
      </c>
      <c r="G11">
        <v>26</v>
      </c>
      <c r="H11">
        <v>31</v>
      </c>
      <c r="J11">
        <v>2.5</v>
      </c>
      <c r="K11">
        <v>5</v>
      </c>
      <c r="L11">
        <v>7</v>
      </c>
      <c r="M11">
        <v>8</v>
      </c>
      <c r="N11">
        <v>9</v>
      </c>
      <c r="O11">
        <v>10</v>
      </c>
      <c r="P11">
        <v>11</v>
      </c>
      <c r="Q11">
        <v>12</v>
      </c>
    </row>
    <row r="12" spans="1:17" x14ac:dyDescent="0.25">
      <c r="A12">
        <v>3</v>
      </c>
      <c r="B12">
        <v>14</v>
      </c>
      <c r="C12">
        <v>19</v>
      </c>
      <c r="D12">
        <v>22</v>
      </c>
      <c r="E12">
        <v>24</v>
      </c>
      <c r="F12">
        <v>25</v>
      </c>
      <c r="G12">
        <v>26</v>
      </c>
      <c r="H12">
        <v>31</v>
      </c>
      <c r="J12">
        <v>3</v>
      </c>
      <c r="K12">
        <v>6</v>
      </c>
      <c r="L12">
        <v>7</v>
      </c>
      <c r="M12">
        <v>8</v>
      </c>
      <c r="N12">
        <v>9</v>
      </c>
      <c r="O12">
        <v>10</v>
      </c>
      <c r="P12">
        <v>11</v>
      </c>
      <c r="Q12">
        <v>12</v>
      </c>
    </row>
    <row r="13" spans="1:17" x14ac:dyDescent="0.25">
      <c r="A13">
        <v>3.5</v>
      </c>
      <c r="B13">
        <v>17</v>
      </c>
      <c r="C13">
        <v>21</v>
      </c>
      <c r="D13">
        <v>27</v>
      </c>
      <c r="E13">
        <v>30</v>
      </c>
      <c r="F13">
        <v>33</v>
      </c>
      <c r="G13">
        <v>31</v>
      </c>
      <c r="H13">
        <v>34</v>
      </c>
      <c r="J13">
        <v>3.5</v>
      </c>
      <c r="K13">
        <v>7</v>
      </c>
      <c r="L13">
        <v>8</v>
      </c>
      <c r="M13">
        <v>9</v>
      </c>
      <c r="N13">
        <v>10</v>
      </c>
      <c r="O13">
        <v>11</v>
      </c>
      <c r="P13">
        <v>12</v>
      </c>
      <c r="Q13">
        <v>13</v>
      </c>
    </row>
    <row r="14" spans="1:17" x14ac:dyDescent="0.25">
      <c r="A14">
        <v>4</v>
      </c>
      <c r="B14">
        <v>17</v>
      </c>
      <c r="C14">
        <v>21</v>
      </c>
      <c r="D14">
        <v>27</v>
      </c>
      <c r="E14">
        <v>30</v>
      </c>
      <c r="F14">
        <v>33</v>
      </c>
      <c r="G14">
        <v>31</v>
      </c>
      <c r="H14">
        <v>34</v>
      </c>
      <c r="J14">
        <v>4</v>
      </c>
      <c r="K14">
        <v>7</v>
      </c>
      <c r="L14">
        <v>8</v>
      </c>
      <c r="M14">
        <v>9</v>
      </c>
      <c r="N14">
        <v>10</v>
      </c>
      <c r="O14">
        <v>11</v>
      </c>
      <c r="P14">
        <v>12</v>
      </c>
      <c r="Q14">
        <v>13</v>
      </c>
    </row>
    <row r="15" spans="1:17" x14ac:dyDescent="0.25">
      <c r="A15">
        <v>4.5</v>
      </c>
      <c r="B15">
        <v>28</v>
      </c>
      <c r="C15">
        <v>27</v>
      </c>
      <c r="D15">
        <v>30</v>
      </c>
      <c r="E15">
        <v>33</v>
      </c>
      <c r="F15">
        <v>31</v>
      </c>
      <c r="G15">
        <v>34</v>
      </c>
      <c r="H15">
        <v>40</v>
      </c>
      <c r="J15">
        <v>4.5</v>
      </c>
      <c r="K15">
        <v>8</v>
      </c>
      <c r="L15">
        <v>9</v>
      </c>
      <c r="M15">
        <v>10</v>
      </c>
      <c r="N15">
        <v>11</v>
      </c>
      <c r="O15">
        <v>12</v>
      </c>
      <c r="P15">
        <v>13</v>
      </c>
      <c r="Q15">
        <v>14</v>
      </c>
    </row>
    <row r="16" spans="1:17" x14ac:dyDescent="0.25">
      <c r="A16">
        <v>5</v>
      </c>
      <c r="B16">
        <v>28</v>
      </c>
      <c r="C16">
        <v>29</v>
      </c>
      <c r="D16">
        <v>36</v>
      </c>
      <c r="E16">
        <v>38</v>
      </c>
      <c r="F16">
        <v>39</v>
      </c>
      <c r="G16">
        <v>34</v>
      </c>
      <c r="H16">
        <v>40</v>
      </c>
      <c r="J16">
        <v>5</v>
      </c>
      <c r="K16">
        <v>8</v>
      </c>
      <c r="L16">
        <v>9</v>
      </c>
      <c r="M16">
        <v>10</v>
      </c>
      <c r="N16">
        <v>11</v>
      </c>
      <c r="O16">
        <v>12</v>
      </c>
      <c r="P16">
        <v>13</v>
      </c>
      <c r="Q16">
        <v>14</v>
      </c>
    </row>
    <row r="17" spans="1:17" x14ac:dyDescent="0.25">
      <c r="A17">
        <v>6</v>
      </c>
      <c r="B17">
        <v>32</v>
      </c>
      <c r="C17">
        <v>35</v>
      </c>
      <c r="D17">
        <v>37</v>
      </c>
      <c r="E17">
        <v>39</v>
      </c>
      <c r="F17">
        <v>44</v>
      </c>
      <c r="G17">
        <v>45</v>
      </c>
      <c r="H17">
        <v>57</v>
      </c>
      <c r="J17">
        <v>6</v>
      </c>
      <c r="K17">
        <v>9</v>
      </c>
      <c r="L17">
        <v>10</v>
      </c>
      <c r="M17">
        <v>11</v>
      </c>
      <c r="N17">
        <v>12</v>
      </c>
      <c r="O17">
        <v>13</v>
      </c>
      <c r="P17">
        <v>14</v>
      </c>
      <c r="Q17">
        <v>15</v>
      </c>
    </row>
    <row r="18" spans="1:17" x14ac:dyDescent="0.25">
      <c r="A18">
        <v>7</v>
      </c>
      <c r="B18">
        <v>35</v>
      </c>
      <c r="C18">
        <v>37</v>
      </c>
      <c r="D18">
        <v>39</v>
      </c>
      <c r="E18">
        <v>44</v>
      </c>
      <c r="F18">
        <v>45</v>
      </c>
      <c r="G18">
        <v>57</v>
      </c>
      <c r="H18">
        <v>52</v>
      </c>
      <c r="J18">
        <v>7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</row>
    <row r="19" spans="1:17" x14ac:dyDescent="0.25">
      <c r="A19">
        <v>8</v>
      </c>
      <c r="B19">
        <v>41</v>
      </c>
      <c r="C19">
        <v>42</v>
      </c>
      <c r="D19">
        <v>43</v>
      </c>
      <c r="E19">
        <v>47</v>
      </c>
      <c r="F19">
        <v>49</v>
      </c>
      <c r="G19">
        <v>52</v>
      </c>
      <c r="H19">
        <v>53</v>
      </c>
      <c r="J19">
        <v>8</v>
      </c>
      <c r="K19">
        <v>11</v>
      </c>
      <c r="L19">
        <v>12</v>
      </c>
      <c r="M19">
        <v>13</v>
      </c>
      <c r="N19">
        <v>14</v>
      </c>
      <c r="O19">
        <v>15</v>
      </c>
      <c r="P19">
        <v>16</v>
      </c>
      <c r="Q19">
        <v>17</v>
      </c>
    </row>
    <row r="20" spans="1:17" x14ac:dyDescent="0.25">
      <c r="A20">
        <v>9</v>
      </c>
      <c r="B20">
        <v>42</v>
      </c>
      <c r="C20">
        <v>43</v>
      </c>
      <c r="D20">
        <v>47</v>
      </c>
      <c r="E20">
        <v>49</v>
      </c>
      <c r="F20">
        <v>52</v>
      </c>
      <c r="G20">
        <v>53</v>
      </c>
      <c r="H20" t="s">
        <v>75</v>
      </c>
      <c r="J20">
        <v>9</v>
      </c>
      <c r="K20">
        <v>12</v>
      </c>
      <c r="L20">
        <v>13</v>
      </c>
      <c r="M20">
        <v>14</v>
      </c>
      <c r="N20">
        <v>15</v>
      </c>
      <c r="O20">
        <v>16</v>
      </c>
      <c r="P20">
        <v>17</v>
      </c>
      <c r="Q20">
        <v>57</v>
      </c>
    </row>
    <row r="21" spans="1:17" x14ac:dyDescent="0.25">
      <c r="A21">
        <v>10</v>
      </c>
      <c r="B21">
        <v>46</v>
      </c>
      <c r="C21">
        <v>50</v>
      </c>
      <c r="D21">
        <v>51</v>
      </c>
      <c r="E21">
        <v>55</v>
      </c>
      <c r="F21">
        <v>54</v>
      </c>
      <c r="G21">
        <v>57</v>
      </c>
      <c r="H21">
        <v>58</v>
      </c>
      <c r="J21">
        <v>10</v>
      </c>
      <c r="K21">
        <v>13</v>
      </c>
      <c r="L21">
        <v>14</v>
      </c>
      <c r="M21">
        <v>15</v>
      </c>
      <c r="N21">
        <v>16</v>
      </c>
      <c r="O21">
        <v>17</v>
      </c>
      <c r="P21">
        <v>57</v>
      </c>
      <c r="Q21">
        <v>58</v>
      </c>
    </row>
    <row r="22" spans="1:17" x14ac:dyDescent="0.25">
      <c r="A22">
        <v>11</v>
      </c>
      <c r="B22">
        <v>50</v>
      </c>
      <c r="C22">
        <v>51</v>
      </c>
      <c r="D22">
        <v>55</v>
      </c>
      <c r="E22">
        <v>56</v>
      </c>
      <c r="F22">
        <v>57</v>
      </c>
      <c r="G22">
        <v>58</v>
      </c>
      <c r="H22" t="s">
        <v>75</v>
      </c>
      <c r="J22">
        <v>11</v>
      </c>
      <c r="K22">
        <v>14</v>
      </c>
      <c r="L22">
        <v>15</v>
      </c>
      <c r="M22">
        <v>16</v>
      </c>
      <c r="N22">
        <v>17</v>
      </c>
      <c r="O22">
        <v>57</v>
      </c>
      <c r="P22">
        <v>58</v>
      </c>
      <c r="Q22">
        <v>60</v>
      </c>
    </row>
    <row r="23" spans="1:17" x14ac:dyDescent="0.25">
      <c r="A23">
        <v>12</v>
      </c>
      <c r="B23">
        <v>48</v>
      </c>
      <c r="C23">
        <v>55</v>
      </c>
      <c r="D23">
        <v>56</v>
      </c>
      <c r="E23">
        <v>57</v>
      </c>
      <c r="F23">
        <v>58</v>
      </c>
      <c r="G23">
        <v>60</v>
      </c>
      <c r="H23">
        <v>62</v>
      </c>
      <c r="J23">
        <v>12</v>
      </c>
      <c r="K23">
        <v>15</v>
      </c>
      <c r="L23">
        <v>16</v>
      </c>
      <c r="M23">
        <v>17</v>
      </c>
      <c r="N23">
        <v>57</v>
      </c>
      <c r="O23">
        <v>58</v>
      </c>
      <c r="P23">
        <v>60</v>
      </c>
      <c r="Q23">
        <v>21</v>
      </c>
    </row>
    <row r="24" spans="1:17" x14ac:dyDescent="0.25">
      <c r="A24">
        <v>14</v>
      </c>
      <c r="B24" t="s">
        <v>75</v>
      </c>
      <c r="C24" t="s">
        <v>75</v>
      </c>
      <c r="D24">
        <v>57</v>
      </c>
      <c r="E24">
        <v>58</v>
      </c>
      <c r="F24">
        <v>60</v>
      </c>
      <c r="G24">
        <v>62</v>
      </c>
      <c r="H24">
        <v>61</v>
      </c>
      <c r="J24">
        <v>14</v>
      </c>
      <c r="K24">
        <v>16</v>
      </c>
      <c r="L24">
        <v>17</v>
      </c>
      <c r="M24">
        <v>57</v>
      </c>
      <c r="N24">
        <v>58</v>
      </c>
      <c r="O24">
        <v>60</v>
      </c>
      <c r="P24">
        <v>21</v>
      </c>
      <c r="Q24">
        <v>61</v>
      </c>
    </row>
    <row r="25" spans="1:17" x14ac:dyDescent="0.25">
      <c r="A25">
        <v>15</v>
      </c>
      <c r="B25" t="s">
        <v>75</v>
      </c>
      <c r="C25" t="s">
        <v>75</v>
      </c>
      <c r="D25" t="s">
        <v>75</v>
      </c>
      <c r="E25">
        <v>60</v>
      </c>
      <c r="F25">
        <v>62</v>
      </c>
      <c r="G25" t="s">
        <v>75</v>
      </c>
      <c r="H25" t="s">
        <v>75</v>
      </c>
      <c r="J25">
        <v>15</v>
      </c>
      <c r="K25">
        <v>17</v>
      </c>
      <c r="L25">
        <v>57</v>
      </c>
      <c r="M25">
        <v>58</v>
      </c>
      <c r="N25">
        <v>60</v>
      </c>
      <c r="O25">
        <v>21</v>
      </c>
      <c r="P25">
        <v>61</v>
      </c>
      <c r="Q25" t="s">
        <v>75</v>
      </c>
    </row>
    <row r="26" spans="1:17" x14ac:dyDescent="0.25">
      <c r="A26">
        <v>16</v>
      </c>
      <c r="B26" t="s">
        <v>75</v>
      </c>
      <c r="C26" t="s">
        <v>75</v>
      </c>
      <c r="D26">
        <v>60</v>
      </c>
      <c r="E26">
        <v>62</v>
      </c>
      <c r="F26">
        <v>61</v>
      </c>
      <c r="G26" t="s">
        <v>75</v>
      </c>
      <c r="H26" t="s">
        <v>75</v>
      </c>
      <c r="J26">
        <v>16</v>
      </c>
      <c r="K26">
        <v>57</v>
      </c>
      <c r="L26">
        <v>58</v>
      </c>
      <c r="M26">
        <v>60</v>
      </c>
      <c r="N26">
        <v>21</v>
      </c>
      <c r="O26">
        <v>61</v>
      </c>
      <c r="P26" t="s">
        <v>75</v>
      </c>
      <c r="Q26" t="s">
        <v>75</v>
      </c>
    </row>
    <row r="27" spans="1:17" x14ac:dyDescent="0.25">
      <c r="A27">
        <v>17</v>
      </c>
      <c r="B27" t="s">
        <v>75</v>
      </c>
      <c r="C27" t="s">
        <v>75</v>
      </c>
      <c r="D27" t="s">
        <v>75</v>
      </c>
      <c r="E27">
        <v>61</v>
      </c>
      <c r="F27" t="s">
        <v>75</v>
      </c>
      <c r="J27">
        <v>17</v>
      </c>
      <c r="K27">
        <v>58</v>
      </c>
      <c r="L27">
        <v>60</v>
      </c>
      <c r="M27">
        <v>21</v>
      </c>
      <c r="N27">
        <v>61</v>
      </c>
      <c r="O27" t="s">
        <v>75</v>
      </c>
      <c r="P27" t="s">
        <v>75</v>
      </c>
      <c r="Q27" t="s">
        <v>75</v>
      </c>
    </row>
    <row r="28" spans="1:17" x14ac:dyDescent="0.25">
      <c r="A28">
        <v>18</v>
      </c>
      <c r="B28" t="s">
        <v>75</v>
      </c>
      <c r="C28" t="s">
        <v>75</v>
      </c>
      <c r="D28">
        <v>61</v>
      </c>
      <c r="E28" t="s">
        <v>75</v>
      </c>
      <c r="J28">
        <v>18</v>
      </c>
      <c r="K28">
        <v>60</v>
      </c>
      <c r="L28">
        <v>21</v>
      </c>
      <c r="M28">
        <v>61</v>
      </c>
      <c r="N28" t="s">
        <v>75</v>
      </c>
      <c r="O28" t="s">
        <v>75</v>
      </c>
      <c r="P28" t="s">
        <v>75</v>
      </c>
      <c r="Q28" t="s">
        <v>75</v>
      </c>
    </row>
    <row r="29" spans="1:17" x14ac:dyDescent="0.25">
      <c r="J29">
        <v>19</v>
      </c>
      <c r="K29">
        <v>21</v>
      </c>
      <c r="L29">
        <v>61</v>
      </c>
      <c r="M29" t="s">
        <v>75</v>
      </c>
      <c r="N29" t="s">
        <v>75</v>
      </c>
      <c r="O29" t="s">
        <v>75</v>
      </c>
      <c r="P29" t="s">
        <v>75</v>
      </c>
      <c r="Q29" t="s">
        <v>75</v>
      </c>
    </row>
    <row r="30" spans="1:17" x14ac:dyDescent="0.25">
      <c r="J30">
        <v>20</v>
      </c>
      <c r="K30">
        <v>21</v>
      </c>
      <c r="L30" t="s">
        <v>75</v>
      </c>
      <c r="M30" t="s">
        <v>75</v>
      </c>
      <c r="N30" t="s">
        <v>75</v>
      </c>
      <c r="O30" t="s">
        <v>75</v>
      </c>
      <c r="P30" t="s">
        <v>75</v>
      </c>
      <c r="Q30" t="s">
        <v>75</v>
      </c>
    </row>
  </sheetData>
  <mergeCells count="4">
    <mergeCell ref="A1:H1"/>
    <mergeCell ref="B2:H2"/>
    <mergeCell ref="J1:Q1"/>
    <mergeCell ref="K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D29" sqref="D29"/>
    </sheetView>
  </sheetViews>
  <sheetFormatPr defaultRowHeight="15" x14ac:dyDescent="0.25"/>
  <sheetData>
    <row r="1" spans="1:2" x14ac:dyDescent="0.25">
      <c r="A1" s="14" t="s">
        <v>80</v>
      </c>
      <c r="B1" s="14"/>
    </row>
    <row r="2" spans="1:2" x14ac:dyDescent="0.25">
      <c r="A2" s="14" t="s">
        <v>81</v>
      </c>
      <c r="B2" s="14"/>
    </row>
    <row r="3" spans="1:2" x14ac:dyDescent="0.25">
      <c r="A3" s="14" t="s">
        <v>82</v>
      </c>
      <c r="B3" s="14"/>
    </row>
    <row r="4" spans="1:2" x14ac:dyDescent="0.25">
      <c r="A4" s="14" t="s">
        <v>83</v>
      </c>
      <c r="B4" s="14"/>
    </row>
    <row r="5" spans="1:2" x14ac:dyDescent="0.25">
      <c r="A5" s="14" t="s">
        <v>84</v>
      </c>
      <c r="B5" s="14"/>
    </row>
    <row r="6" spans="1:2" ht="18" x14ac:dyDescent="0.25">
      <c r="A6" s="15" t="s">
        <v>85</v>
      </c>
      <c r="B6" s="15" t="s">
        <v>86</v>
      </c>
    </row>
    <row r="7" spans="1:2" ht="18" x14ac:dyDescent="0.25">
      <c r="A7" s="15" t="s">
        <v>87</v>
      </c>
      <c r="B7" s="15" t="s">
        <v>88</v>
      </c>
    </row>
    <row r="8" spans="1:2" ht="18" x14ac:dyDescent="0.25">
      <c r="A8" s="15" t="s">
        <v>89</v>
      </c>
      <c r="B8" s="15" t="s">
        <v>90</v>
      </c>
    </row>
    <row r="9" spans="1:2" ht="18" x14ac:dyDescent="0.25">
      <c r="A9" s="15" t="s">
        <v>91</v>
      </c>
      <c r="B9" s="15" t="s">
        <v>92</v>
      </c>
    </row>
    <row r="10" spans="1:2" ht="27" x14ac:dyDescent="0.25">
      <c r="A10" s="15" t="s">
        <v>93</v>
      </c>
      <c r="B10" s="15" t="s">
        <v>94</v>
      </c>
    </row>
    <row r="11" spans="1:2" ht="18" x14ac:dyDescent="0.25">
      <c r="A11" s="15" t="s">
        <v>95</v>
      </c>
      <c r="B11" s="15" t="s">
        <v>96</v>
      </c>
    </row>
    <row r="12" spans="1:2" ht="27" x14ac:dyDescent="0.25">
      <c r="A12" s="15" t="s">
        <v>97</v>
      </c>
      <c r="B12" s="15" t="s">
        <v>98</v>
      </c>
    </row>
    <row r="13" spans="1:2" ht="27" x14ac:dyDescent="0.25">
      <c r="A13" s="15" t="s">
        <v>99</v>
      </c>
      <c r="B13" s="15" t="s">
        <v>100</v>
      </c>
    </row>
    <row r="14" spans="1:2" ht="27" x14ac:dyDescent="0.25">
      <c r="A14" s="15" t="s">
        <v>101</v>
      </c>
      <c r="B14" s="15" t="s">
        <v>102</v>
      </c>
    </row>
    <row r="15" spans="1:2" ht="27" x14ac:dyDescent="0.25">
      <c r="A15" s="15" t="s">
        <v>103</v>
      </c>
      <c r="B15" s="15" t="s">
        <v>104</v>
      </c>
    </row>
    <row r="16" spans="1:2" ht="18" x14ac:dyDescent="0.25">
      <c r="A16" s="15" t="s">
        <v>105</v>
      </c>
      <c r="B16" s="15" t="s">
        <v>106</v>
      </c>
    </row>
    <row r="17" spans="1:2" ht="18" x14ac:dyDescent="0.25">
      <c r="A17" s="15" t="s">
        <v>107</v>
      </c>
      <c r="B17" s="15" t="s">
        <v>108</v>
      </c>
    </row>
    <row r="18" spans="1:2" ht="18" x14ac:dyDescent="0.25">
      <c r="A18" s="15" t="s">
        <v>109</v>
      </c>
      <c r="B18" s="15" t="s">
        <v>110</v>
      </c>
    </row>
    <row r="19" spans="1:2" x14ac:dyDescent="0.25">
      <c r="A19" s="15" t="s">
        <v>111</v>
      </c>
      <c r="B19" s="15" t="s">
        <v>112</v>
      </c>
    </row>
    <row r="20" spans="1:2" ht="18" x14ac:dyDescent="0.25">
      <c r="A20" s="15" t="s">
        <v>113</v>
      </c>
      <c r="B20" s="15" t="s">
        <v>114</v>
      </c>
    </row>
    <row r="21" spans="1:2" x14ac:dyDescent="0.25">
      <c r="A21" s="15" t="s">
        <v>115</v>
      </c>
      <c r="B21" s="15" t="s">
        <v>116</v>
      </c>
    </row>
    <row r="22" spans="1:2" x14ac:dyDescent="0.25">
      <c r="A22" s="15" t="s">
        <v>117</v>
      </c>
      <c r="B22" s="15" t="s">
        <v>118</v>
      </c>
    </row>
    <row r="23" spans="1:2" ht="18" x14ac:dyDescent="0.25">
      <c r="A23" s="15" t="s">
        <v>119</v>
      </c>
      <c r="B23" s="15" t="s">
        <v>120</v>
      </c>
    </row>
    <row r="24" spans="1:2" ht="18" x14ac:dyDescent="0.25">
      <c r="A24" s="15" t="s">
        <v>121</v>
      </c>
      <c r="B24" s="15" t="s">
        <v>122</v>
      </c>
    </row>
    <row r="25" spans="1:2" x14ac:dyDescent="0.25">
      <c r="A25" s="15" t="s">
        <v>123</v>
      </c>
      <c r="B25" s="15" t="s">
        <v>124</v>
      </c>
    </row>
    <row r="26" spans="1:2" ht="18" x14ac:dyDescent="0.25">
      <c r="A26" s="16" t="s">
        <v>125</v>
      </c>
      <c r="B26" s="15" t="s">
        <v>126</v>
      </c>
    </row>
    <row r="27" spans="1:2" x14ac:dyDescent="0.25">
      <c r="A27" s="17" t="s">
        <v>127</v>
      </c>
      <c r="B27" s="18" t="s">
        <v>128</v>
      </c>
    </row>
    <row r="28" spans="1:2" x14ac:dyDescent="0.25">
      <c r="A28" s="19" t="s">
        <v>129</v>
      </c>
      <c r="B28" s="15" t="s">
        <v>130</v>
      </c>
    </row>
    <row r="29" spans="1:2" x14ac:dyDescent="0.25">
      <c r="A29" s="15" t="s">
        <v>131</v>
      </c>
      <c r="B29" s="15" t="s">
        <v>132</v>
      </c>
    </row>
    <row r="30" spans="1:2" ht="27" x14ac:dyDescent="0.25">
      <c r="A30" s="15" t="s">
        <v>133</v>
      </c>
      <c r="B30" s="15" t="s">
        <v>134</v>
      </c>
    </row>
    <row r="31" spans="1:2" x14ac:dyDescent="0.25">
      <c r="A31" s="15" t="s">
        <v>135</v>
      </c>
      <c r="B31" s="15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Flanges</vt:lpstr>
      <vt:lpstr>Sheet2</vt:lpstr>
      <vt:lpstr>Metal Bands</vt:lpstr>
      <vt:lpstr>Elbow</vt:lpstr>
      <vt:lpstr>Flange Size</vt:lpstr>
      <vt:lpstr>Copper Tubing</vt:lpstr>
      <vt:lpstr>Iron Pipe Size</vt:lpstr>
      <vt:lpstr>Copper Tube</vt:lpstr>
      <vt:lpstr>ELL-JACS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Senger</dc:creator>
  <cp:lastModifiedBy>Jon Snow</cp:lastModifiedBy>
  <dcterms:created xsi:type="dcterms:W3CDTF">2013-08-25T06:12:01Z</dcterms:created>
  <dcterms:modified xsi:type="dcterms:W3CDTF">2016-01-18T23:00:49Z</dcterms:modified>
</cp:coreProperties>
</file>